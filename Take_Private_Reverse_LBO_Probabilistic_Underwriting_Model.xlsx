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b5ea96390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6ab69a7d9c14b82"/>
    <x:sheet xmlns:r="http://schemas.openxmlformats.org/officeDocument/2006/relationships" name="Inputs" sheetId="2" r:id="Ra657add2cf984036"/>
    <x:sheet xmlns:r="http://schemas.openxmlformats.org/officeDocument/2006/relationships" name="Operating Case" sheetId="3" r:id="Rc684eb1a5f3747aa"/>
    <x:sheet xmlns:r="http://schemas.openxmlformats.org/officeDocument/2006/relationships" name="Sources &amp; Uses" sheetId="4" r:id="R8b099676a8f2409d"/>
    <x:sheet xmlns:r="http://schemas.openxmlformats.org/officeDocument/2006/relationships" name="Debt Schedule" sheetId="5" r:id="R1a086e298bbf4a9e"/>
    <x:sheet xmlns:r="http://schemas.openxmlformats.org/officeDocument/2006/relationships" name="Returns" sheetId="6" r:id="R8328f77243b74ab9"/>
    <x:sheet xmlns:r="http://schemas.openxmlformats.org/officeDocument/2006/relationships" name="Reverse LBO" sheetId="7" r:id="R465ff64ae08d41a8"/>
    <x:sheet xmlns:r="http://schemas.openxmlformats.org/officeDocument/2006/relationships" name="Sensitivities" sheetId="8" r:id="R902796551c144461"/>
    <x:sheet xmlns:r="http://schemas.openxmlformats.org/officeDocument/2006/relationships" name="IC Summary" sheetId="9" r:id="R80319d8fa1de46cb"/>
    <x:sheet xmlns:r="http://schemas.openxmlformats.org/officeDocument/2006/relationships" name="Hurdle Solver" sheetId="10" r:id="R9a0ce1cb454545d4"/>
    <x:sheet xmlns:r="http://schemas.openxmlformats.org/officeDocument/2006/relationships" name="Risk Simulation" sheetId="11" r:id="Rae93da3986bf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.0;[Red]($#,##0.0);-"/>
    <x:numFmt numFmtId="201" formatCode="0.0%;[Red](0.0%);-"/>
    <x:numFmt numFmtId="202" formatCode="0.0x;[Red](0.0x);-"/>
    <x:numFmt numFmtId="203" formatCode="0.0"/>
    <x:numFmt numFmtId="204" formatCode="#,##0.0;[Red](#,##0.0);-"/>
    <x:numFmt numFmtId="205" formatCode="0.00x;[Red](0.00x);-"/>
    <x:numFmt numFmtId="206" formatCode="0.00;[Red](0.00);-"/>
    <x:numFmt numFmtId="207" formatCode="0.0x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i/>
      <x:sz val="11"/>
      <x:color rgb="FF666666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4"/>
      <x:color rgb="FF008000"/>
      <x:name val="Carlito"/>
    </x:font>
    <x:font>
      <x:b/>
      <x:sz val="20"/>
      <x:color rgb="FFFFFFFF"/>
      <x:name val="Carlito"/>
    </x:font>
    <x:font>
      <x:b/>
      <x:sz val="12"/>
      <x:color rgb="FF111827"/>
      <x:name val="Carlito"/>
    </x:font>
    <x:font>
      <x:i/>
      <x:sz val="9"/>
      <x:color rgb="FF666666"/>
      <x:name val="Carlito"/>
    </x:font>
    <x:font>
      <x:b/>
      <x:sz val="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5" fillId="5" borderId="0" xfId="0" applyNumberFormat="1" applyFont="1" applyFill="1" applyBorder="1" applyAlignment="1">
      <x:alignment horizontal="right"/>
    </x:xf>
    <x:xf numFmtId="0" fontId="5" fillId="5" borderId="1" xfId="0" applyNumberFormat="1" applyFont="1" applyFill="1" applyBorder="1" applyAlignment="1">
      <x:alignment horizontal="right"/>
    </x:xf>
    <x:xf numFmtId="0" fontId="5" fillId="5" borderId="0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0" fontId="8" fillId="0" borderId="0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200" fontId="8" fillId="0" borderId="1" xfId="0" applyNumberFormat="1" applyFont="1" applyFill="1" applyBorder="1" applyAlignment="1">
      <x:alignment horizontal="right"/>
    </x:xf>
    <x:xf numFmtId="201" fontId="8" fillId="0" borderId="1" xfId="0" applyNumberFormat="1" applyFont="1" applyFill="1" applyBorder="1" applyAlignment="1">
      <x:alignment horizontal="right"/>
    </x:xf>
    <x:xf numFmtId="0" fontId="5" fillId="0" borderId="2" xfId="0" applyNumberFormat="1" applyFont="1" applyFill="1" applyBorder="1"/>
    <x:xf numFmtId="200" fontId="8" fillId="0" borderId="2" xfId="0" applyNumberFormat="1" applyFont="1" applyFill="1" applyBorder="1" applyAlignment="1">
      <x:alignment horizontal="right"/>
    </x:xf>
    <x:xf numFmtId="0" fontId="5" fillId="0" borderId="3" xfId="0" applyNumberFormat="1" applyFont="1" applyFill="1" applyBorder="1"/>
    <x:xf numFmtId="200" fontId="8" fillId="0" borderId="3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202" fontId="8" fillId="0" borderId="1" xfId="0" applyNumberFormat="1" applyFont="1" applyFill="1" applyBorder="1"/>
    <x:xf numFmtId="0" fontId="8" fillId="0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/>
    <x:xf numFmtId="200" fontId="8" fillId="0" borderId="2" xfId="0" applyNumberFormat="1" applyFont="1" applyFill="1" applyBorder="1"/>
    <x:xf numFmtId="0" fontId="0" fillId="0" borderId="3" xfId="0" applyNumberFormat="1" applyFont="1" applyFill="1" applyBorder="1"/>
    <x:xf numFmtId="200" fontId="8" fillId="0" borderId="3" xfId="0" applyNumberFormat="1" applyFont="1" applyFill="1" applyBorder="1"/>
    <x:xf numFmtId="201" fontId="5" fillId="5" borderId="0" xfId="0" applyNumberFormat="1" applyFont="1" applyFill="1" applyBorder="1" applyAlignment="1">
      <x:alignment horizontal="center"/>
    </x:xf>
    <x:xf numFmtId="201" fontId="5" fillId="5" borderId="1" xfId="0" applyNumberFormat="1" applyFont="1" applyFill="1" applyBorder="1" applyAlignment="1">
      <x:alignment horizontal="center"/>
    </x:xf>
    <x:xf numFmtId="202" fontId="5" fillId="5" borderId="0" xfId="0" applyNumberFormat="1" applyFont="1" applyFill="1" applyBorder="1" applyAlignment="1">
      <x:alignment horizontal="center"/>
    </x:xf>
    <x:xf numFmtId="202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202" fontId="10" fillId="0" borderId="0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202" fontId="10" fillId="0" borderId="1" xfId="0" applyNumberFormat="1" applyFont="1" applyFill="1" applyBorder="1"/>
    <x:xf numFmtId="202" fontId="10" fillId="0" borderId="1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/>
    <x:xf numFmtId="200" fontId="10" fillId="0" borderId="0" xfId="0" applyNumberFormat="1" applyFont="1" applyFill="1" applyBorder="1" applyAlignment="1">
      <x:alignment horizontal="center"/>
    </x:xf>
    <x:xf numFmtId="200" fontId="10" fillId="0" borderId="1" xfId="0" applyNumberFormat="1" applyFont="1" applyFill="1" applyBorder="1"/>
    <x:xf numFmtId="200" fontId="10" fillId="0" borderId="1" xfId="0" applyNumberFormat="1" applyFont="1" applyFill="1" applyBorder="1" applyAlignment="1">
      <x:alignment horizontal="center"/>
    </x:xf>
    <x:xf numFmtId="201" fontId="10" fillId="0" borderId="0" xfId="0" applyNumberFormat="1" applyFont="1" applyFill="1" applyBorder="1"/>
    <x:xf numFmtId="201" fontId="10" fillId="0" borderId="0" xfId="0" applyNumberFormat="1" applyFont="1" applyFill="1" applyBorder="1" applyAlignment="1">
      <x:alignment horizontal="center"/>
    </x:xf>
    <x:xf numFmtId="201" fontId="10" fillId="0" borderId="1" xfId="0" applyNumberFormat="1" applyFont="1" applyFill="1" applyBorder="1"/>
    <x:xf numFmtId="201" fontId="1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horizontal="left" wrapText="1"/>
    </x:xf>
    <x:xf numFmtId="0" fontId="5" fillId="8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5" fontId="8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cde3054144cda" /><Relationship Type="http://schemas.openxmlformats.org/officeDocument/2006/relationships/theme" Target="/xl/theme/theme1.xml" Id="R86a6a6b9e5b04846" /><Relationship Type="http://schemas.openxmlformats.org/officeDocument/2006/relationships/sharedStrings" Target="/xl/sharedStrings.xml" Id="R039986e765af42c2" /><Relationship Type="http://schemas.openxmlformats.org/officeDocument/2006/relationships/worksheet" Target="/xl/worksheets/sheet1.xml" Id="Rb6ab69a7d9c14b82" /><Relationship Type="http://schemas.openxmlformats.org/officeDocument/2006/relationships/worksheet" Target="/xl/worksheets/sheet2.xml" Id="Ra657add2cf984036" /><Relationship Type="http://schemas.openxmlformats.org/officeDocument/2006/relationships/worksheet" Target="/xl/worksheets/sheet3.xml" Id="Rc684eb1a5f3747aa" /><Relationship Type="http://schemas.openxmlformats.org/officeDocument/2006/relationships/worksheet" Target="/xl/worksheets/sheet4.xml" Id="R8b099676a8f2409d" /><Relationship Type="http://schemas.openxmlformats.org/officeDocument/2006/relationships/worksheet" Target="/xl/worksheets/sheet5.xml" Id="R1a086e298bbf4a9e" /><Relationship Type="http://schemas.openxmlformats.org/officeDocument/2006/relationships/worksheet" Target="/xl/worksheets/sheet6.xml" Id="R8328f77243b74ab9" /><Relationship Type="http://schemas.openxmlformats.org/officeDocument/2006/relationships/worksheet" Target="/xl/worksheets/sheet7.xml" Id="R465ff64ae08d41a8" /><Relationship Type="http://schemas.openxmlformats.org/officeDocument/2006/relationships/worksheet" Target="/xl/worksheets/sheet8.xml" Id="R902796551c144461" /><Relationship Type="http://schemas.openxmlformats.org/officeDocument/2006/relationships/worksheet" Target="/xl/worksheets/sheet9.xml" Id="R80319d8fa1de46cb" /><Relationship Type="http://schemas.openxmlformats.org/officeDocument/2006/relationships/worksheet" Target="/xl/worksheets/sheet10.xml" Id="R9a0ce1cb454545d4" /><Relationship Type="http://schemas.openxmlformats.org/officeDocument/2006/relationships/worksheet" Target="/xl/worksheets/sheet11.xml" Id="Rae93da3986bf42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763555d51341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Debt and Net Debt Paydown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'Debt Schedule'!$A$23:$A$24</c:f>
              <c:strCache>
                <c:ptCount val="0"/>
              </c:strCache>
            </c:strRef>
          </c:cat>
          <c:val>
            <c:numRef>
              <c:f>'Debt Schedule'!$B$23:$B$24</c:f>
              <c:numCache>
                <c:formatCode>$#,##0.0;[Red]($#,##0.0);-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'Debt Schedule'!$A$23:$A$24</c:f>
              <c:strCache>
                <c:ptCount val="0"/>
              </c:strCache>
            </c:strRef>
          </c:cat>
          <c:val>
            <c:numRef>
              <c:f>'Debt Schedule'!$C$23:$C$24</c:f>
              <c:numCache>
                <c:formatCode>$#,##0.0;[Red]($#,##0.0);-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'Debt Schedule'!$A$23:$A$24</c:f>
              <c:strCache>
                <c:ptCount val="0"/>
              </c:strCache>
            </c:strRef>
          </c:cat>
          <c:val>
            <c:numRef>
              <c:f>'Debt Schedule'!$D$23:$D$24</c:f>
              <c:numCache>
                <c:formatCode>$#,##0.0;[Red]($#,##0.0);-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'Debt Schedule'!$A$23:$A$24</c:f>
              <c:strCache>
                <c:ptCount val="0"/>
              </c:strCache>
            </c:strRef>
          </c:cat>
          <c:val>
            <c:numRef>
              <c:f>'Debt Schedule'!$E$23:$E$24</c:f>
              <c:numCache>
                <c:formatCode>$#,##0.0;[Red]($#,##0.0);-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'Debt Schedule'!$A$23:$A$24</c:f>
              <c:strCache>
                <c:ptCount val="0"/>
              </c:strCache>
            </c:strRef>
          </c:cat>
          <c:val>
            <c:numRef>
              <c:f>'Debt Schedule'!$F$23:$F$24</c:f>
              <c:numCache>
                <c:formatCode>$#,##0.0;[Red]($#,##0.0);-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763555d51341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5e6a5bceaf34b3c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152" t="str">
        <x:v>TAKE-PRIVATE REVERSE LBO &amp; PROBABILISTIC UNDERWRITING</x:v>
      </x:c>
      <x:c r="B1" s="152"/>
      <x:c r="C1" s="152"/>
      <x:c r="D1" s="152"/>
      <x:c r="E1" s="152"/>
      <x:c r="F1" s="152"/>
      <x:c r="G1" s="152"/>
      <x:c r="H1" s="152"/>
      <x:c r="I1" s="152"/>
      <x:c r="J1" s="152"/>
    </x:row>
    <x:row r="2" ht="30" customHeight="1">
      <x:c r="A2" s="11" t="str">
        <x:v>Project Redwood | Fictional Private Equity Case Study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53" t="str">
        <x:v>Core question: what is the highest price a financial sponsor can pay while preserving return hurdles, debt capacity and downside protection?</x:v>
      </x:c>
      <x:c r="B4" s="153"/>
      <x:c r="C4" s="153"/>
      <x:c r="D4" s="153"/>
      <x:c r="E4" s="153"/>
      <x:c r="F4" s="153"/>
      <x:c r="G4" s="153"/>
      <x:c r="H4" s="153"/>
      <x:c r="I4" s="153"/>
      <x:c r="J4" s="153"/>
    </x:row>
    <x:row r="5">
      <x:c r="A5" s="153"/>
      <x:c r="B5" s="153"/>
      <x:c r="C5" s="153"/>
      <x:c r="D5" s="153"/>
      <x:c r="E5" s="153"/>
      <x:c r="F5" s="153"/>
      <x:c r="G5" s="153"/>
      <x:c r="H5" s="153"/>
      <x:c r="I5" s="153"/>
      <x:c r="J5" s="153"/>
    </x:row>
    <x:row r="7">
      <x:c r="A7" s="23" t="str">
        <x:v>Core workstreams</x:v>
      </x:c>
      <x:c r="B7" s="23"/>
      <x:c r="C7" s="23"/>
      <x:c r="D7" s="23"/>
      <x:c r="E7" s="23"/>
      <x:c r="F7" s="23"/>
      <x:c r="G7" s="23"/>
      <x:c r="H7" s="23"/>
      <x:c r="I7" s="23"/>
      <x:c r="J7" s="23"/>
    </x:row>
    <x:row r="8">
      <x:c r="A8" s="26" t="str">
        <x:v>Transaction mechanics</x:v>
      </x:c>
      <x:c r="B8" s="28" t="str">
        <x:v>Enterprise-to-equity bridge, sources &amp; uses, fees, management rollover and financing.</x:v>
      </x:c>
      <x:c r="C8" s="28"/>
      <x:c r="D8" s="28"/>
      <x:c r="E8" s="28"/>
      <x:c r="F8" s="28"/>
      <x:c r="G8" s="28"/>
      <x:c r="H8" s="28"/>
      <x:c r="I8" s="28"/>
      <x:c r="J8" s="28"/>
    </x:row>
    <x:row r="9">
      <x:c r="A9" s="26" t="str">
        <x:v>Operating case</x:v>
      </x:c>
      <x:c r="B9" s="28" t="str">
        <x:v>Five-year revenue, margin, capex, working-capital and free-cash-flow build.</x:v>
      </x:c>
      <x:c r="C9" s="28"/>
      <x:c r="D9" s="28"/>
      <x:c r="E9" s="28"/>
      <x:c r="F9" s="28"/>
      <x:c r="G9" s="28"/>
      <x:c r="H9" s="28"/>
      <x:c r="I9" s="28"/>
      <x:c r="J9" s="28"/>
    </x:row>
    <x:row r="10">
      <x:c r="A10" s="26" t="str">
        <x:v>Debt underwriting</x:v>
      </x:c>
      <x:c r="B10" s="28" t="str">
        <x:v>TLB, second-lien, revolver, mandatory amortisation, cash sweep and covenant headroom.</x:v>
      </x:c>
      <x:c r="C10" s="28"/>
      <x:c r="D10" s="28"/>
      <x:c r="E10" s="28"/>
      <x:c r="F10" s="28"/>
      <x:c r="G10" s="28"/>
      <x:c r="H10" s="28"/>
      <x:c r="I10" s="28"/>
      <x:c r="J10" s="28"/>
    </x:row>
    <x:row r="11">
      <x:c r="A11" s="26" t="str">
        <x:v>Sponsor returns</x:v>
      </x:c>
      <x:c r="B11" s="28" t="str">
        <x:v>MOIC, IRR, exit equity, leverage and value-creation bridge.</x:v>
      </x:c>
      <x:c r="C11" s="28"/>
      <x:c r="D11" s="28"/>
      <x:c r="E11" s="28"/>
      <x:c r="F11" s="28"/>
      <x:c r="G11" s="28"/>
      <x:c r="H11" s="28"/>
      <x:c r="I11" s="28"/>
      <x:c r="J11" s="28"/>
    </x:row>
    <x:row r="12">
      <x:c r="A12" s="26" t="str">
        <x:v>Reverse LBO</x:v>
      </x:c>
      <x:c r="B12" s="28" t="str">
        <x:v>Solves the maximum entry valuation consistent with target IRR / MOIC hurdles.</x:v>
      </x:c>
      <x:c r="C12" s="28"/>
      <x:c r="D12" s="28"/>
      <x:c r="E12" s="28"/>
      <x:c r="F12" s="28"/>
      <x:c r="G12" s="28"/>
      <x:c r="H12" s="28"/>
      <x:c r="I12" s="28"/>
      <x:c r="J12" s="28"/>
    </x:row>
    <x:row r="13">
      <x:c r="A13" s="26" t="str">
        <x:v>Bid envelope</x:v>
      </x:c>
      <x:c r="B13" s="28" t="str">
        <x:v>Maps maximum bid against exit multiple and return threshold.</x:v>
      </x:c>
      <x:c r="C13" s="28"/>
      <x:c r="D13" s="28"/>
      <x:c r="E13" s="28"/>
      <x:c r="F13" s="28"/>
      <x:c r="G13" s="28"/>
      <x:c r="H13" s="28"/>
      <x:c r="I13" s="28"/>
      <x:c r="J13" s="28"/>
    </x:row>
    <x:row r="14">
      <x:c r="A14" s="26" t="str">
        <x:v>Downside &amp; sensitivity</x:v>
      </x:c>
      <x:c r="B14" s="28" t="str">
        <x:v>Stress tests EBITDA, exit multiple, rates and leverage outcomes.</x:v>
      </x:c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6" t="str">
        <x:v>Probabilistic risk layer</x:v>
      </x:c>
      <x:c r="B15" s="28" t="str">
        <x:v>10,000 correlated Monte Carlo deal outcomes in a companion Python engine.</x:v>
      </x:c>
      <x:c r="C15" s="28"/>
      <x:c r="D15" s="28"/>
      <x:c r="E15" s="28"/>
      <x:c r="F15" s="28"/>
      <x:c r="G15" s="28"/>
      <x:c r="H15" s="28"/>
      <x:c r="I15" s="28"/>
      <x:c r="J15" s="28"/>
    </x:row>
    <x:row r="18">
      <x:c r="A18" s="33" t="str">
        <x:v>Data disclosure: all company data, transaction terms and outputs are fictional and created for educational purposes. The case is designed to demonstrate underwriting discipline rather than to represent a live transaction or investment recommendation.</x:v>
      </x:c>
      <x:c r="B18" s="33"/>
      <x:c r="C18" s="33"/>
      <x:c r="D18" s="33"/>
      <x:c r="E18" s="33"/>
      <x:c r="F18" s="33"/>
      <x:c r="G18" s="33"/>
      <x:c r="H18" s="33"/>
      <x:c r="I18" s="33"/>
      <x:c r="J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</x:row>
    <x:row r="22">
      <x:c r="A22" s="28" t="str">
        <x:v>Recommended review order: Inputs -&gt; Sources &amp; Uses -&gt; Operating Case -&gt; Debt Schedule -&gt; Returns -&gt; Reverse LBO -&gt; Hurdle Solver -&gt; Sensitivities -&gt; Risk Simulation. The base case intentionally does not clear the 25% IRR hurdle at the 8.5x asking price, creating a realistic bid-discipline problem rather than forcing the deal to work.</x:v>
      </x:c>
      <x:c r="B22" s="28"/>
      <x:c r="C22" s="28"/>
      <x:c r="D22" s="28"/>
      <x:c r="E22" s="28"/>
      <x:c r="F22" s="28"/>
      <x:c r="G22" s="28"/>
      <x:c r="H22" s="28"/>
      <x:c r="I22" s="28"/>
      <x:c r="J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</x:row>
  </x:sheetData>
  <x:mergeCells>
    <x:mergeCell ref="A1:J1"/>
    <x:mergeCell ref="A2:J2"/>
    <x:mergeCell ref="A4:J5"/>
    <x:mergeCell ref="A7:J7"/>
    <x:mergeCell ref="B8:J8"/>
    <x:mergeCell ref="B9:J9"/>
    <x:mergeCell ref="B10:J10"/>
    <x:mergeCell ref="B11:J11"/>
    <x:mergeCell ref="B12:J12"/>
    <x:mergeCell ref="B13:J13"/>
    <x:mergeCell ref="B14:J14"/>
    <x:mergeCell ref="B15:J15"/>
    <x:mergeCell ref="A18:J20"/>
    <x:mergeCell ref="A22:J25"/>
    <x:mergeCell ref="A22:B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5" hidden="0" customWidth="1"/>
    <x:col min="4" max="4" width="42" hidden="0" customWidth="1"/>
    <x:col min="5" max="5" width="12" hidden="0" customWidth="1"/>
    <x:col min="6" max="6" width="24" hidden="0" customWidth="1"/>
    <x:col min="7" max="7" width="28" hidden="0" customWidth="1"/>
  </x:cols>
  <x:sheetData>
    <x:row r="1" ht="28" customHeight="1">
      <x:c r="A1" s="5" t="str">
        <x:v>Inputs &amp; Assumptions</x:v>
      </x:c>
      <x:c r="B1" s="5"/>
      <x:c r="C1" s="5"/>
      <x:c r="D1" s="5"/>
      <x:c r="E1" s="5"/>
      <x:c r="F1" s="5"/>
      <x:c r="G1" s="5"/>
    </x:row>
    <x:row r="2" ht="30" customHeight="1">
      <x:c r="A2" s="11" t="str">
        <x:v>Blue = hardcoded assumption | Green = linked from another sheet | Black = formula</x:v>
      </x:c>
      <x:c r="B2" s="11"/>
      <x:c r="C2" s="11"/>
      <x:c r="D2" s="11"/>
      <x:c r="E2" s="11"/>
      <x:c r="F2" s="11"/>
      <x:c r="G2" s="11"/>
    </x:row>
    <x:row r="4">
      <x:c r="A4" s="40" t="str">
        <x:v>Assumption</x:v>
      </x:c>
      <x:c r="B4" s="40" t="str">
        <x:v>Value</x:v>
      </x:c>
      <x:c r="C4" s="40" t="str">
        <x:v>Units</x:v>
      </x:c>
      <x:c r="D4" s="40" t="str">
        <x:v>Source / note</x:v>
      </x:c>
      <x:c r="E4" s="40" t="str">
        <x:v>Editable?</x:v>
      </x:c>
      <x:c r="F4" s="40" t="str">
        <x:v>Model role</x:v>
      </x:c>
    </x:row>
    <x:row r="5">
      <x:c r="A5" s="26" t="str">
        <x:v>LTM Revenue</x:v>
      </x:c>
      <x:c r="B5" s="50" t="n">
        <x:v>325</x:v>
      </x:c>
      <x:c r="C5" t="str">
        <x:v>$mm</x:v>
      </x:c>
      <x:c r="D5" s="47" t="str">
        <x:v>Synthetic case assumption - educational model</x:v>
      </x:c>
      <x:c r="E5" t="str">
        <x:v>Yes</x:v>
      </x:c>
      <x:c r="F5" t="str">
        <x:v>Starting operating scale</x:v>
      </x:c>
    </x:row>
    <x:row r="6">
      <x:c r="A6" s="26" t="str">
        <x:v>LTM EBITDA Margin</x:v>
      </x:c>
      <x:c r="B6" s="52" t="n">
        <x:v>0.19</x:v>
      </x:c>
      <x:c r="C6" t="str">
        <x:v>%</x:v>
      </x:c>
      <x:c r="D6" s="47" t="str">
        <x:v>Synthetic case assumption - educational model</x:v>
      </x:c>
      <x:c r="E6" t="str">
        <x:v>Yes</x:v>
      </x:c>
      <x:c r="F6" t="str">
        <x:v>Starting profitability</x:v>
      </x:c>
    </x:row>
    <x:row r="7">
      <x:c r="A7" s="26" t="str">
        <x:v>D&amp;A as % of Revenue</x:v>
      </x:c>
      <x:c r="B7" s="52" t="n">
        <x:v>0.03</x:v>
      </x:c>
      <x:c r="C7" t="str">
        <x:v>%</x:v>
      </x:c>
      <x:c r="D7" s="47" t="str">
        <x:v>Synthetic case assumption - educational model</x:v>
      </x:c>
      <x:c r="E7" t="str">
        <x:v>Yes</x:v>
      </x:c>
      <x:c r="F7" t="str">
        <x:v>Operating projection</x:v>
      </x:c>
    </x:row>
    <x:row r="8">
      <x:c r="A8" s="26" t="str">
        <x:v>Capex as % of Revenue</x:v>
      </x:c>
      <x:c r="B8" s="52" t="n">
        <x:v>0.032</x:v>
      </x:c>
      <x:c r="C8" t="str">
        <x:v>%</x:v>
      </x:c>
      <x:c r="D8" s="47" t="str">
        <x:v>Synthetic case assumption - educational model</x:v>
      </x:c>
      <x:c r="E8" t="str">
        <x:v>Yes</x:v>
      </x:c>
      <x:c r="F8" t="str">
        <x:v>Operating projection</x:v>
      </x:c>
    </x:row>
    <x:row r="9">
      <x:c r="A9" s="26" t="str">
        <x:v>NWC as % of Revenue</x:v>
      </x:c>
      <x:c r="B9" s="52" t="n">
        <x:v>0.085</x:v>
      </x:c>
      <x:c r="C9" t="str">
        <x:v>%</x:v>
      </x:c>
      <x:c r="D9" s="47" t="str">
        <x:v>Synthetic case assumption - educational model</x:v>
      </x:c>
      <x:c r="E9" t="str">
        <x:v>Yes</x:v>
      </x:c>
      <x:c r="F9" t="str">
        <x:v>Operating projection</x:v>
      </x:c>
    </x:row>
    <x:row r="10">
      <x:c r="A10" s="26" t="str">
        <x:v>Cash Tax Rate</x:v>
      </x:c>
      <x:c r="B10" s="52" t="n">
        <x:v>0.25</x:v>
      </x:c>
      <x:c r="C10" t="str">
        <x:v>%</x:v>
      </x:c>
      <x:c r="D10" s="47" t="str">
        <x:v>Synthetic case assumption - educational model</x:v>
      </x:c>
      <x:c r="E10" t="str">
        <x:v>Yes</x:v>
      </x:c>
      <x:c r="F10" t="str">
        <x:v>Operating projection</x:v>
      </x:c>
    </x:row>
    <x:row r="11">
      <x:c r="A11" s="26" t="str">
        <x:v>Entry EV / EBITDA</x:v>
      </x:c>
      <x:c r="B11" s="54" t="n">
        <x:v>8.5</x:v>
      </x:c>
      <x:c r="C11" t="str">
        <x:v>x</x:v>
      </x:c>
      <x:c r="D11" s="47" t="str">
        <x:v>Synthetic case assumption - educational model</x:v>
      </x:c>
      <x:c r="E11" t="str">
        <x:v>Yes</x:v>
      </x:c>
      <x:c r="F11" t="str">
        <x:v>Purchase price</x:v>
      </x:c>
    </x:row>
    <x:row r="12">
      <x:c r="A12" s="26" t="str">
        <x:v>Existing Net Debt Refinance</x:v>
      </x:c>
      <x:c r="B12" s="50" t="n">
        <x:v>45</x:v>
      </x:c>
      <x:c r="C12" t="str">
        <x:v>$mm</x:v>
      </x:c>
      <x:c r="D12" s="47" t="str">
        <x:v>Synthetic case assumption - educational model</x:v>
      </x:c>
      <x:c r="E12" t="str">
        <x:v>Yes</x:v>
      </x:c>
      <x:c r="F12" t="str">
        <x:v>Transaction uses</x:v>
      </x:c>
    </x:row>
    <x:row r="13">
      <x:c r="A13" s="26" t="str">
        <x:v>Minimum Cash</x:v>
      </x:c>
      <x:c r="B13" s="50" t="n">
        <x:v>10</x:v>
      </x:c>
      <x:c r="C13" t="str">
        <x:v>$mm</x:v>
      </x:c>
      <x:c r="D13" s="47" t="str">
        <x:v>Synthetic case assumption - educational model</x:v>
      </x:c>
      <x:c r="E13" t="str">
        <x:v>Yes</x:v>
      </x:c>
      <x:c r="F13" t="str">
        <x:v>Liquidity</x:v>
      </x:c>
    </x:row>
    <x:row r="14">
      <x:c r="A14" s="26" t="str">
        <x:v>Transaction Fees as % EV</x:v>
      </x:c>
      <x:c r="B14" s="52" t="n">
        <x:v>0.02</x:v>
      </x:c>
      <x:c r="C14" t="str">
        <x:v>%</x:v>
      </x:c>
      <x:c r="D14" s="47" t="str">
        <x:v>Synthetic case assumption - educational model</x:v>
      </x:c>
      <x:c r="E14" t="str">
        <x:v>Yes</x:v>
      </x:c>
      <x:c r="F14" t="str">
        <x:v>Transaction uses</x:v>
      </x:c>
    </x:row>
    <x:row r="15">
      <x:c r="A15" s="26" t="str">
        <x:v>Financing Fees as % Debt</x:v>
      </x:c>
      <x:c r="B15" s="52" t="n">
        <x:v>0.02</x:v>
      </x:c>
      <x:c r="C15" t="str">
        <x:v>%</x:v>
      </x:c>
      <x:c r="D15" s="47" t="str">
        <x:v>Synthetic case assumption - educational model</x:v>
      </x:c>
      <x:c r="E15" t="str">
        <x:v>Yes</x:v>
      </x:c>
      <x:c r="F15" t="str">
        <x:v>Transaction uses</x:v>
      </x:c>
    </x:row>
    <x:row r="16">
      <x:c r="A16" s="26" t="str">
        <x:v>Management Rollover % of Equity</x:v>
      </x:c>
      <x:c r="B16" s="52" t="n">
        <x:v>0.08</x:v>
      </x:c>
      <x:c r="C16" t="str">
        <x:v>%</x:v>
      </x:c>
      <x:c r="D16" s="47" t="str">
        <x:v>Synthetic case assumption - educational model</x:v>
      </x:c>
      <x:c r="E16" t="str">
        <x:v>Yes</x:v>
      </x:c>
      <x:c r="F16" t="str">
        <x:v>Equity funding</x:v>
      </x:c>
    </x:row>
    <x:row r="17">
      <x:c r="A17" s="26" t="str">
        <x:v>Hold Period</x:v>
      </x:c>
      <x:c r="B17" s="56" t="n">
        <x:v>5</x:v>
      </x:c>
      <x:c r="C17" t="str">
        <x:v>years</x:v>
      </x:c>
      <x:c r="D17" s="47" t="str">
        <x:v>Synthetic case assumption - educational model</x:v>
      </x:c>
      <x:c r="E17" t="str">
        <x:v>Yes</x:v>
      </x:c>
      <x:c r="F17" t="str">
        <x:v>Sponsor returns</x:v>
      </x:c>
    </x:row>
    <x:row r="18">
      <x:c r="A18" s="26" t="str">
        <x:v>Exit EV / EBITDA</x:v>
      </x:c>
      <x:c r="B18" s="54" t="n">
        <x:v>9.5</x:v>
      </x:c>
      <x:c r="C18" t="str">
        <x:v>x</x:v>
      </x:c>
      <x:c r="D18" s="47" t="str">
        <x:v>Synthetic case assumption - educational model</x:v>
      </x:c>
      <x:c r="E18" t="str">
        <x:v>Yes</x:v>
      </x:c>
      <x:c r="F18" t="str">
        <x:v>Sponsor returns</x:v>
      </x:c>
    </x:row>
    <x:row r="19">
      <x:c r="A19" s="26" t="str">
        <x:v>Target Gross IRR</x:v>
      </x:c>
      <x:c r="B19" s="52" t="n">
        <x:v>0.25</x:v>
      </x:c>
      <x:c r="C19" t="str">
        <x:v>%</x:v>
      </x:c>
      <x:c r="D19" s="47" t="str">
        <x:v>Synthetic case assumption - educational model</x:v>
      </x:c>
      <x:c r="E19" t="str">
        <x:v>Yes</x:v>
      </x:c>
      <x:c r="F19" t="str">
        <x:v>Reverse LBO</x:v>
      </x:c>
    </x:row>
    <x:row r="20">
      <x:c r="A20" s="26" t="str">
        <x:v>Target Gross MOIC</x:v>
      </x:c>
      <x:c r="B20" s="54" t="n">
        <x:v>2.5</x:v>
      </x:c>
      <x:c r="C20" t="str">
        <x:v>x</x:v>
      </x:c>
      <x:c r="D20" s="47" t="str">
        <x:v>Synthetic case assumption - educational model</x:v>
      </x:c>
      <x:c r="E20" t="str">
        <x:v>Yes</x:v>
      </x:c>
      <x:c r="F20" t="str">
        <x:v>Reverse LBO</x:v>
      </x:c>
    </x:row>
    <x:row r="21">
      <x:c r="A21" s="26" t="str">
        <x:v>TLB Leverage</x:v>
      </x:c>
      <x:c r="B21" s="54" t="n">
        <x:v>4</x:v>
      </x:c>
      <x:c r="C21" t="str">
        <x:v>x EBITDA</x:v>
      </x:c>
      <x:c r="D21" s="47" t="str">
        <x:v>Synthetic case assumption - educational model</x:v>
      </x:c>
      <x:c r="E21" t="str">
        <x:v>Yes</x:v>
      </x:c>
      <x:c r="F21" t="str">
        <x:v>Debt sizing</x:v>
      </x:c>
    </x:row>
    <x:row r="22">
      <x:c r="A22" s="26" t="str">
        <x:v>TLB Spread</x:v>
      </x:c>
      <x:c r="B22" s="52" t="n">
        <x:v>0.0425</x:v>
      </x:c>
      <x:c r="C22" t="str">
        <x:v>%</x:v>
      </x:c>
      <x:c r="D22" s="47" t="str">
        <x:v>Synthetic case assumption - educational model</x:v>
      </x:c>
      <x:c r="E22" t="str">
        <x:v>Yes</x:v>
      </x:c>
      <x:c r="F22" t="str">
        <x:v>Debt pricing</x:v>
      </x:c>
    </x:row>
    <x:row r="23">
      <x:c r="A23" s="26" t="str">
        <x:v>SOFR / Base Rate</x:v>
      </x:c>
      <x:c r="B23" s="52" t="n">
        <x:v>0.035</x:v>
      </x:c>
      <x:c r="C23" t="str">
        <x:v>%</x:v>
      </x:c>
      <x:c r="D23" s="47" t="str">
        <x:v>Synthetic case assumption - educational model</x:v>
      </x:c>
      <x:c r="E23" t="str">
        <x:v>Yes</x:v>
      </x:c>
      <x:c r="F23" t="str">
        <x:v>Debt pricing</x:v>
      </x:c>
    </x:row>
    <x:row r="24">
      <x:c r="A24" s="26" t="str">
        <x:v>SOFR Floor</x:v>
      </x:c>
      <x:c r="B24" s="52" t="n">
        <x:v>0.02</x:v>
      </x:c>
      <x:c r="C24" t="str">
        <x:v>%</x:v>
      </x:c>
      <x:c r="D24" s="47" t="str">
        <x:v>Synthetic case assumption - educational model</x:v>
      </x:c>
      <x:c r="E24" t="str">
        <x:v>Yes</x:v>
      </x:c>
      <x:c r="F24" t="str">
        <x:v>Debt pricing</x:v>
      </x:c>
    </x:row>
    <x:row r="25">
      <x:c r="A25" s="26" t="str">
        <x:v>TLB Mandatory Amortisation</x:v>
      </x:c>
      <x:c r="B25" s="58" t="n">
        <x:v>0.01</x:v>
      </x:c>
      <x:c r="C25" t="str">
        <x:v>% of original</x:v>
      </x:c>
      <x:c r="D25" s="47" t="str">
        <x:v>Synthetic case assumption - educational model</x:v>
      </x:c>
      <x:c r="E25" t="str">
        <x:v>Yes</x:v>
      </x:c>
      <x:c r="F25" t="str">
        <x:v>Debt paydown</x:v>
      </x:c>
    </x:row>
    <x:row r="26">
      <x:c r="A26" s="26" t="str">
        <x:v>Second-Lien Leverage</x:v>
      </x:c>
      <x:c r="B26" s="54" t="n">
        <x:v>1</x:v>
      </x:c>
      <x:c r="C26" t="str">
        <x:v>x EBITDA</x:v>
      </x:c>
      <x:c r="D26" s="47" t="str">
        <x:v>Synthetic case assumption - educational model</x:v>
      </x:c>
      <x:c r="E26" t="str">
        <x:v>Yes</x:v>
      </x:c>
      <x:c r="F26" t="str">
        <x:v>Debt sizing</x:v>
      </x:c>
    </x:row>
    <x:row r="27">
      <x:c r="A27" s="26" t="str">
        <x:v>Second-Lien Cash Coupon</x:v>
      </x:c>
      <x:c r="B27" s="52" t="n">
        <x:v>0.095</x:v>
      </x:c>
      <x:c r="C27" t="str">
        <x:v>%</x:v>
      </x:c>
      <x:c r="D27" s="47" t="str">
        <x:v>Synthetic case assumption - educational model</x:v>
      </x:c>
      <x:c r="E27" t="str">
        <x:v>Yes</x:v>
      </x:c>
      <x:c r="F27" t="str">
        <x:v>Debt pricing</x:v>
      </x:c>
    </x:row>
    <x:row r="28">
      <x:c r="A28" s="26" t="str">
        <x:v>RCF Capacity</x:v>
      </x:c>
      <x:c r="B28" s="54" t="n">
        <x:v>0.5</x:v>
      </x:c>
      <x:c r="C28" t="str">
        <x:v>x EBITDA</x:v>
      </x:c>
      <x:c r="D28" s="47" t="str">
        <x:v>Synthetic case assumption - educational model</x:v>
      </x:c>
      <x:c r="E28" t="str">
        <x:v>Yes</x:v>
      </x:c>
      <x:c r="F28" t="str">
        <x:v>Liquidity</x:v>
      </x:c>
    </x:row>
    <x:row r="29">
      <x:c r="A29" s="26" t="str">
        <x:v>RCF Spread</x:v>
      </x:c>
      <x:c r="B29" s="52" t="n">
        <x:v>0.0475</x:v>
      </x:c>
      <x:c r="C29" t="str">
        <x:v>%</x:v>
      </x:c>
      <x:c r="D29" s="47" t="str">
        <x:v>Synthetic case assumption - educational model</x:v>
      </x:c>
      <x:c r="E29" t="str">
        <x:v>Yes</x:v>
      </x:c>
      <x:c r="F29" t="str">
        <x:v>Debt pricing</x:v>
      </x:c>
    </x:row>
    <x:row r="30">
      <x:c r="A30" s="26" t="str">
        <x:v>Cash Sweep</x:v>
      </x:c>
      <x:c r="B30" s="58" t="n">
        <x:v>0.75</x:v>
      </x:c>
      <x:c r="C30" t="str">
        <x:v>% of excess cash</x:v>
      </x:c>
      <x:c r="D30" s="47" t="str">
        <x:v>Synthetic case assumption - educational model</x:v>
      </x:c>
      <x:c r="E30" t="str">
        <x:v>Yes</x:v>
      </x:c>
      <x:c r="F30" t="str">
        <x:v>Debt paydown</x:v>
      </x:c>
    </x:row>
    <x:row r="31">
      <x:c r="A31" s="26" t="str">
        <x:v>Minimum Interest Coverage</x:v>
      </x:c>
      <x:c r="B31" s="54" t="n">
        <x:v>2</x:v>
      </x:c>
      <x:c r="C31" t="str">
        <x:v>x</x:v>
      </x:c>
      <x:c r="D31" s="47" t="str">
        <x:v>Synthetic case assumption - educational model</x:v>
      </x:c>
      <x:c r="E31" t="str">
        <x:v>Yes</x:v>
      </x:c>
      <x:c r="F31" t="str">
        <x:v>Credit guardrail</x:v>
      </x:c>
    </x:row>
    <x:row r="34">
      <x:c r="A34" s="23" t="str">
        <x:v>Operating Projection Assumptions</x:v>
      </x:c>
      <x:c r="B34" s="23"/>
      <x:c r="C34" s="23"/>
      <x:c r="D34" s="23"/>
      <x:c r="E34" s="23"/>
      <x:c r="F34" s="23"/>
      <x:c r="G34" s="23"/>
    </x:row>
    <x:row r="35">
      <x:c r="A35" s="40" t="str">
        <x:v>Metric</x:v>
      </x:c>
      <x:c r="B35" s="40" t="str">
        <x:v>2027E</x:v>
      </x:c>
      <x:c r="C35" s="40" t="str">
        <x:v>2028E</x:v>
      </x:c>
      <x:c r="D35" s="40" t="str">
        <x:v>2029E</x:v>
      </x:c>
      <x:c r="E35" s="40" t="str">
        <x:v>2030E</x:v>
      </x:c>
      <x:c r="F35" s="40" t="str">
        <x:v>2031E</x:v>
      </x:c>
      <x:c r="G35" s="40" t="str">
        <x:v>Source / note</x:v>
      </x:c>
    </x:row>
    <x:row r="36">
      <x:c r="A36" t="str">
        <x:v>Revenue Growth</x:v>
      </x:c>
      <x:c r="B36" s="52" t="n">
        <x:v>0.07</x:v>
      </x:c>
      <x:c r="C36" s="52" t="n">
        <x:v>0.06</x:v>
      </x:c>
      <x:c r="D36" s="52" t="n">
        <x:v>0.05</x:v>
      </x:c>
      <x:c r="E36" s="52" t="n">
        <x:v>0.04</x:v>
      </x:c>
      <x:c r="F36" s="52" t="n">
        <x:v>0.04</x:v>
      </x:c>
      <x:c r="G36" s="46" t="str">
        <x:v>Synthetic base-case assumption</x:v>
      </x:c>
    </x:row>
    <x:row r="37">
      <x:c r="A37" t="str">
        <x:v>EBITDA Margin</x:v>
      </x:c>
      <x:c r="B37" s="52" t="n">
        <x:v>0.195</x:v>
      </x:c>
      <x:c r="C37" s="52" t="n">
        <x:v>0.2</x:v>
      </x:c>
      <x:c r="D37" s="52" t="n">
        <x:v>0.205</x:v>
      </x:c>
      <x:c r="E37" s="52" t="n">
        <x:v>0.208</x:v>
      </x:c>
      <x:c r="F37" s="52" t="n">
        <x:v>0.21</x:v>
      </x:c>
      <x:c r="G37" s="46" t="str">
        <x:v>Synthetic base-case assumption</x:v>
      </x:c>
    </x:row>
  </x:sheetData>
  <x:mergeCells>
    <x:mergeCell ref="A1:G1"/>
    <x:mergeCell ref="A2:G2"/>
    <x:mergeCell ref="A34:G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5" t="str">
        <x:v>Operating Case</x:v>
      </x:c>
      <x:c r="B1" s="5"/>
      <x:c r="C1" s="5"/>
      <x:c r="D1" s="5"/>
      <x:c r="E1" s="5"/>
      <x:c r="F1" s="5"/>
      <x:c r="G1" s="5"/>
    </x:row>
    <x:row r="2" ht="30" customHeight="1">
      <x:c r="A2" s="11" t="str">
        <x:v>Five-year build driving debt paydown and sponsor returns</x:v>
      </x:c>
      <x:c r="B2" s="11"/>
      <x:c r="C2" s="11"/>
      <x:c r="D2" s="11"/>
      <x:c r="E2" s="11"/>
      <x:c r="F2" s="11"/>
      <x:c r="G2" s="11"/>
    </x:row>
    <x:row r="4">
      <x:c r="A4" s="62" t="str">
        <x:v>$ in mm, except %</x:v>
      </x:c>
      <x:c r="B4" s="60" t="str">
        <x:v>2026A</x:v>
      </x:c>
      <x:c r="C4" s="60" t="str">
        <x:v>2027E</x:v>
      </x:c>
      <x:c r="D4" s="60" t="str">
        <x:v>2028E</x:v>
      </x:c>
      <x:c r="E4" s="60" t="str">
        <x:v>2029E</x:v>
      </x:c>
      <x:c r="F4" s="60" t="str">
        <x:v>2030E</x:v>
      </x:c>
      <x:c r="G4" s="60" t="str">
        <x:v>2031E</x:v>
      </x:c>
    </x:row>
    <x:row r="5">
      <x:c r="A5" s="26" t="str">
        <x:v>Revenue</x:v>
      </x:c>
      <x:c r="B5" s="72" t="n">
        <x:f>Inputs!B5</x:f>
        <x:v>325</x:v>
      </x:c>
      <x:c r="C5" s="72" t="n">
        <x:f>B5*(1+Inputs!B36)</x:f>
        <x:v>347.75</x:v>
      </x:c>
      <x:c r="D5" s="72" t="n">
        <x:f>C5*(1+Inputs!C36)</x:f>
        <x:v>368.615</x:v>
      </x:c>
      <x:c r="E5" s="72" t="n">
        <x:f>D5*(1+Inputs!D36)</x:f>
        <x:v>387.04575</x:v>
      </x:c>
      <x:c r="F5" s="72" t="n">
        <x:f>E5*(1+Inputs!E36)</x:f>
        <x:v>402.52758</x:v>
      </x:c>
      <x:c r="G5" s="72" t="n">
        <x:f>F5*(1+Inputs!F36)</x:f>
        <x:v>418.6286832</x:v>
      </x:c>
    </x:row>
    <x:row r="6">
      <x:c r="A6" t="str">
        <x:v>% Growth</x:v>
      </x:c>
      <x:c r="B6" s="73" t="str">
        <x:v>-</x:v>
      </x:c>
      <x:c r="C6" s="73" t="n">
        <x:f>Inputs!B36</x:f>
        <x:v>0.07</x:v>
      </x:c>
      <x:c r="D6" s="73" t="n">
        <x:f>Inputs!C36</x:f>
        <x:v>0.06</x:v>
      </x:c>
      <x:c r="E6" s="73" t="n">
        <x:f>Inputs!D36</x:f>
        <x:v>0.05</x:v>
      </x:c>
      <x:c r="F6" s="73" t="n">
        <x:f>Inputs!E36</x:f>
        <x:v>0.04</x:v>
      </x:c>
      <x:c r="G6" s="73" t="n">
        <x:f>Inputs!F36</x:f>
        <x:v>0.04</x:v>
      </x:c>
    </x:row>
    <x:row r="7">
      <x:c r="A7" t="str">
        <x:v>EBITDA Margin</x:v>
      </x:c>
      <x:c r="B7" s="73" t="n">
        <x:f>Inputs!B6</x:f>
        <x:v>0.19</x:v>
      </x:c>
      <x:c r="C7" s="73" t="n">
        <x:f>Inputs!B37</x:f>
        <x:v>0.195</x:v>
      </x:c>
      <x:c r="D7" s="73" t="n">
        <x:f>Inputs!C37</x:f>
        <x:v>0.2</x:v>
      </x:c>
      <x:c r="E7" s="73" t="n">
        <x:f>Inputs!D37</x:f>
        <x:v>0.205</x:v>
      </x:c>
      <x:c r="F7" s="73" t="n">
        <x:f>Inputs!E37</x:f>
        <x:v>0.208</x:v>
      </x:c>
      <x:c r="G7" s="73" t="n">
        <x:f>Inputs!F37</x:f>
        <x:v>0.21</x:v>
      </x:c>
    </x:row>
    <x:row r="8">
      <x:c r="A8" s="26" t="str">
        <x:v>EBITDA</x:v>
      </x:c>
      <x:c r="B8" s="72" t="n">
        <x:f>B5*B7</x:f>
        <x:v>61.75</x:v>
      </x:c>
      <x:c r="C8" s="72" t="n">
        <x:f>C5*C7</x:f>
        <x:v>67.81125</x:v>
      </x:c>
      <x:c r="D8" s="72" t="n">
        <x:f>D5*D7</x:f>
        <x:v>73.723</x:v>
      </x:c>
      <x:c r="E8" s="72" t="n">
        <x:f>E5*E7</x:f>
        <x:v>79.34437874999999</x:v>
      </x:c>
      <x:c r="F8" s="72" t="n">
        <x:f>F5*F7</x:f>
        <x:v>83.72573664</x:v>
      </x:c>
      <x:c r="G8" s="72" t="n">
        <x:f>G5*G7</x:f>
        <x:v>87.912023472</x:v>
      </x:c>
    </x:row>
    <x:row r="9">
      <x:c r="A9" t="str">
        <x:v>D&amp;A</x:v>
      </x:c>
      <x:c r="B9" s="72" t="n">
        <x:f>B5*Inputs!B7</x:f>
        <x:v>9.75</x:v>
      </x:c>
      <x:c r="C9" s="72" t="n">
        <x:f>C5*Inputs!B7</x:f>
        <x:v>10.4325</x:v>
      </x:c>
      <x:c r="D9" s="72" t="n">
        <x:f>D5*Inputs!B7</x:f>
        <x:v>11.05845</x:v>
      </x:c>
      <x:c r="E9" s="72" t="n">
        <x:f>E5*Inputs!B7</x:f>
        <x:v>11.6113725</x:v>
      </x:c>
      <x:c r="F9" s="72" t="n">
        <x:f>F5*Inputs!B7</x:f>
        <x:v>12.0758274</x:v>
      </x:c>
      <x:c r="G9" s="72" t="n">
        <x:f>G5*Inputs!B7</x:f>
        <x:v>12.558860496</x:v>
      </x:c>
    </x:row>
    <x:row r="10">
      <x:c r="A10" s="26" t="str">
        <x:v>EBIT</x:v>
      </x:c>
      <x:c r="B10" s="72" t="n">
        <x:f>B8-B9</x:f>
        <x:v>52</x:v>
      </x:c>
      <x:c r="C10" s="72" t="n">
        <x:f>C8-C9</x:f>
        <x:v>57.378750000000004</x:v>
      </x:c>
      <x:c r="D10" s="72" t="n">
        <x:f>D8-D9</x:f>
        <x:v>62.66455</x:v>
      </x:c>
      <x:c r="E10" s="72" t="n">
        <x:f>E8-E9</x:f>
        <x:v>67.73300624999999</x:v>
      </x:c>
      <x:c r="F10" s="72" t="n">
        <x:f>F8-F9</x:f>
        <x:v>71.64990924</x:v>
      </x:c>
      <x:c r="G10" s="72" t="n">
        <x:f>G8-G9</x:f>
        <x:v>75.35316297600001</x:v>
      </x:c>
    </x:row>
    <x:row r="11">
      <x:c r="A11" t="str">
        <x:v>Capex</x:v>
      </x:c>
      <x:c r="B11" s="72" t="n">
        <x:f>B5*Inputs!B8</x:f>
        <x:v>10.4</x:v>
      </x:c>
      <x:c r="C11" s="72" t="n">
        <x:f>C5*Inputs!B8</x:f>
        <x:v>11.128</x:v>
      </x:c>
      <x:c r="D11" s="72" t="n">
        <x:f>D5*Inputs!B8</x:f>
        <x:v>11.79568</x:v>
      </x:c>
      <x:c r="E11" s="72" t="n">
        <x:f>E5*Inputs!B8</x:f>
        <x:v>12.385464</x:v>
      </x:c>
      <x:c r="F11" s="72" t="n">
        <x:f>F5*Inputs!B8</x:f>
        <x:v>12.88088256</x:v>
      </x:c>
      <x:c r="G11" s="72" t="n">
        <x:f>G5*Inputs!B8</x:f>
        <x:v>13.3961178624</x:v>
      </x:c>
    </x:row>
    <x:row r="12">
      <x:c r="A12" t="str">
        <x:v>Net Working Capital</x:v>
      </x:c>
      <x:c r="B12" s="72" t="n">
        <x:f>B5*Inputs!B9</x:f>
        <x:v>27.625000000000004</x:v>
      </x:c>
      <x:c r="C12" s="72" t="n">
        <x:f>C5*Inputs!B9</x:f>
        <x:v>29.558750000000003</x:v>
      </x:c>
      <x:c r="D12" s="72" t="n">
        <x:f>D5*Inputs!B9</x:f>
        <x:v>31.332275000000003</x:v>
      </x:c>
      <x:c r="E12" s="72" t="n">
        <x:f>E5*Inputs!B9</x:f>
        <x:v>32.898888750000005</x:v>
      </x:c>
      <x:c r="F12" s="72" t="n">
        <x:f>F5*Inputs!B9</x:f>
        <x:v>34.2148443</x:v>
      </x:c>
      <x:c r="G12" s="72" t="n">
        <x:f>G5*Inputs!B9</x:f>
        <x:v>35.58343807200001</x:v>
      </x:c>
    </x:row>
    <x:row r="13">
      <x:c r="A13" t="str">
        <x:v>Change in NWC</x:v>
      </x:c>
      <x:c r="B13" s="72" t="str">
        <x:v>-</x:v>
      </x:c>
      <x:c r="C13" s="72" t="n">
        <x:f>C12-B12</x:f>
        <x:v>1.9337499999999999</x:v>
      </x:c>
      <x:c r="D13" s="72" t="n">
        <x:f>D12-C12</x:f>
        <x:v>1.7735249999999994</x:v>
      </x:c>
      <x:c r="E13" s="72" t="n">
        <x:f>E12-D12</x:f>
        <x:v>1.566613750000002</x:v>
      </x:c>
      <x:c r="F13" s="72" t="n">
        <x:f>F12-E12</x:f>
        <x:v>1.3159555499999982</x:v>
      </x:c>
      <x:c r="G13" s="72" t="n">
        <x:f>G12-F12</x:f>
        <x:v>1.368593772000004</x:v>
      </x:c>
    </x:row>
    <x:row r="14">
      <x:c r="A14" t="str">
        <x:v>Cash Taxes</x:v>
      </x:c>
      <x:c r="B14" s="72" t="n">
        <x:f>MAX(0,B10*Inputs!B10)</x:f>
        <x:v>13</x:v>
      </x:c>
      <x:c r="C14" s="72" t="n">
        <x:f>MAX(0,C10*Inputs!B10)</x:f>
        <x:v>14.344687500000001</x:v>
      </x:c>
      <x:c r="D14" s="72" t="n">
        <x:f>MAX(0,D10*Inputs!B10)</x:f>
        <x:v>15.6661375</x:v>
      </x:c>
      <x:c r="E14" s="72" t="n">
        <x:f>MAX(0,E10*Inputs!B10)</x:f>
        <x:v>16.933251562499997</x:v>
      </x:c>
      <x:c r="F14" s="72" t="n">
        <x:f>MAX(0,F10*Inputs!B10)</x:f>
        <x:v>17.91247731</x:v>
      </x:c>
      <x:c r="G14" s="72" t="n">
        <x:f>MAX(0,G10*Inputs!B10)</x:f>
        <x:v>18.838290744000002</x:v>
      </x:c>
    </x:row>
    <x:row r="15">
      <x:c r="A15" s="76" t="str">
        <x:v>Pre-Interest Free Cash Flow</x:v>
      </x:c>
      <x:c r="B15" s="77" t="str">
        <x:v>-</x:v>
      </x:c>
      <x:c r="C15" s="77" t="n">
        <x:f>C8-C14-C11-C13</x:f>
        <x:v>40.404812500000006</x:v>
      </x:c>
      <x:c r="D15" s="77" t="n">
        <x:f>D8-D14-D11-D13</x:f>
        <x:v>44.487657500000005</x:v>
      </x:c>
      <x:c r="E15" s="77" t="n">
        <x:f>E8-E14-E11-E13</x:f>
        <x:v>48.45904943749999</x:v>
      </x:c>
      <x:c r="F15" s="77" t="n">
        <x:f>F8-F14-F11-F13</x:f>
        <x:v>51.61642121999999</x:v>
      </x:c>
      <x:c r="G15" s="77" t="n">
        <x:f>G8-G14-G11-G13</x:f>
        <x:v>54.30902109359999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" hidden="0" customWidth="1"/>
    <x:col min="4" max="4" width="4" hidden="0" customWidth="1"/>
    <x:col min="5" max="5" width="30" hidden="0" customWidth="1"/>
    <x:col min="6" max="6" width="16" hidden="0" customWidth="1"/>
    <x:col min="7" max="7" width="8" hidden="0" customWidth="1"/>
  </x:cols>
  <x:sheetData>
    <x:row r="1" ht="28" customHeight="1">
      <x:c r="A1" s="5" t="str">
        <x:v>Sources &amp; Uses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1" t="str">
        <x:v>Synthetic take-private capitalisation at close</x:v>
      </x:c>
      <x:c r="B2" s="11"/>
      <x:c r="C2" s="11"/>
      <x:c r="D2" s="11"/>
      <x:c r="E2" s="11"/>
      <x:c r="F2" s="11"/>
      <x:c r="G2" s="11"/>
      <x:c r="H2" s="11"/>
    </x:row>
    <x:row r="4">
      <x:c r="A4" s="23" t="str">
        <x:v>Transaction Valuation</x:v>
      </x:c>
      <x:c r="B4" s="23"/>
      <x:c r="C4" s="23"/>
    </x:row>
    <x:row r="5">
      <x:c r="A5" t="str">
        <x:v>LTM Revenue</x:v>
      </x:c>
      <x:c r="B5" s="82" t="n">
        <x:f>'Operating Case'!B5</x:f>
        <x:v>325</x:v>
      </x:c>
    </x:row>
    <x:row r="6">
      <x:c r="A6" t="str">
        <x:v>LTM EBITDA Margin</x:v>
      </x:c>
      <x:c r="B6" s="83" t="n">
        <x:f>'Operating Case'!B7</x:f>
        <x:v>0.19</x:v>
      </x:c>
    </x:row>
    <x:row r="7">
      <x:c r="A7" t="str">
        <x:v>LTM EBITDA</x:v>
      </x:c>
      <x:c r="B7" s="82" t="n">
        <x:f>'Operating Case'!B8</x:f>
        <x:v>61.75</x:v>
      </x:c>
    </x:row>
    <x:row r="8">
      <x:c r="A8" t="str">
        <x:v>Entry EV / EBITDA</x:v>
      </x:c>
      <x:c r="B8" s="84" t="n">
        <x:f>Inputs!B11</x:f>
        <x:v>8.5</x:v>
      </x:c>
    </x:row>
    <x:row r="9">
      <x:c r="A9" t="str">
        <x:v>Enterprise Value</x:v>
      </x:c>
      <x:c r="B9" s="82" t="n">
        <x:f>B7*B8</x:f>
        <x:v>524.875</x:v>
      </x:c>
    </x:row>
    <x:row r="10">
      <x:c r="A10" t="str">
        <x:v>Equity Purchase Price</x:v>
      </x:c>
      <x:c r="B10" s="82" t="n">
        <x:f>B9-Inputs!B12</x:f>
        <x:v>479.875</x:v>
      </x:c>
    </x:row>
    <x:row r="11">
      <x:c r="B11" s="85"/>
    </x:row>
    <x:row r="12">
      <x:c r="A12" s="23" t="str">
        <x:v>Uses</x:v>
      </x:c>
      <x:c r="B12" s="86"/>
      <x:c r="C12" s="23"/>
      <x:c r="E12" s="23" t="str">
        <x:v>Sources</x:v>
      </x:c>
      <x:c r="F12" s="23"/>
      <x:c r="G12" s="23"/>
    </x:row>
    <x:row r="13">
      <x:c r="A13" t="str">
        <x:v>Equity Purchase Price</x:v>
      </x:c>
      <x:c r="B13" s="82" t="n">
        <x:f>B10</x:f>
        <x:v>479.875</x:v>
      </x:c>
      <x:c r="E13" t="str">
        <x:v>Term Loan B</x:v>
      </x:c>
      <x:c r="F13" s="82" t="n">
        <x:f>B7*Inputs!B21</x:f>
        <x:v>247</x:v>
      </x:c>
    </x:row>
    <x:row r="14">
      <x:c r="A14" t="str">
        <x:v>Refinance Existing Net Debt</x:v>
      </x:c>
      <x:c r="B14" s="82" t="n">
        <x:f>Inputs!B12</x:f>
        <x:v>45</x:v>
      </x:c>
      <x:c r="E14" t="str">
        <x:v>Second-Lien Debt</x:v>
      </x:c>
      <x:c r="F14" s="82" t="n">
        <x:f>B7*Inputs!B26</x:f>
        <x:v>61.75</x:v>
      </x:c>
    </x:row>
    <x:row r="15">
      <x:c r="A15" t="str">
        <x:v>Minimum Cash</x:v>
      </x:c>
      <x:c r="B15" s="82" t="n">
        <x:f>Inputs!B13</x:f>
        <x:v>10</x:v>
      </x:c>
      <x:c r="E15" t="str">
        <x:v>Management Rollover</x:v>
      </x:c>
      <x:c r="F15" s="82" t="n">
        <x:f>(B18-F13-F14)*Inputs!B16</x:f>
        <x:v>19.423799999999993</x:v>
      </x:c>
    </x:row>
    <x:row r="16">
      <x:c r="A16" t="str">
        <x:v>Transaction Fees</x:v>
      </x:c>
      <x:c r="B16" s="82" t="n">
        <x:f>B9*Inputs!B14</x:f>
        <x:v>10.4975</x:v>
      </x:c>
      <x:c r="E16" t="str">
        <x:v>Sponsor Equity</x:v>
      </x:c>
      <x:c r="F16" s="82" t="n">
        <x:f>B18-F13-F14-F15</x:f>
        <x:v>223.3736999999999</x:v>
      </x:c>
    </x:row>
    <x:row r="17">
      <x:c r="A17" t="str">
        <x:v>Financing Fees</x:v>
      </x:c>
      <x:c r="B17" s="82" t="n">
        <x:f>(F13+F14)*Inputs!B15</x:f>
        <x:v>6.175</x:v>
      </x:c>
      <x:c r="E17" s="92" t="str">
        <x:v>Total Sources</x:v>
      </x:c>
      <x:c r="F17" s="93" t="n">
        <x:f>SUM(F13:F16)</x:f>
        <x:v>551.5474999999999</x:v>
      </x:c>
    </x:row>
    <x:row r="18">
      <x:c r="A18" s="92" t="str">
        <x:v>Total Uses</x:v>
      </x:c>
      <x:c r="B18" s="93" t="n">
        <x:f>SUM(B13:B17)</x:f>
        <x:v>551.5474999999999</x:v>
      </x:c>
      <x:c r="E18" t="str">
        <x:v>Sources - Uses Check</x:v>
      </x:c>
      <x:c r="F18" s="82" t="n">
        <x:f>F17-B18</x:f>
        <x:v>0</x:v>
      </x:c>
    </x:row>
    <x:row r="19">
      <x:c r="B19" s="85"/>
    </x:row>
    <x:row r="20">
      <x:c r="A20" s="23" t="str">
        <x:v>Capitalisation at Close</x:v>
      </x:c>
      <x:c r="B20" s="86"/>
      <x:c r="C20" s="23"/>
      <x:c r="D20" s="23"/>
      <x:c r="E20" s="23"/>
      <x:c r="F20" s="23"/>
      <x:c r="G20" s="23"/>
    </x:row>
    <x:row r="21">
      <x:c r="A21" t="str">
        <x:v>Gross Debt</x:v>
      </x:c>
      <x:c r="B21" s="82" t="n">
        <x:f>F13+F14</x:f>
        <x:v>308.75</x:v>
      </x:c>
    </x:row>
    <x:row r="22">
      <x:c r="A22" t="str">
        <x:v>Cash</x:v>
      </x:c>
      <x:c r="B22" s="82" t="n">
        <x:f>B15</x:f>
        <x:v>10</x:v>
      </x:c>
    </x:row>
    <x:row r="23">
      <x:c r="A23" t="str">
        <x:v>Net Debt</x:v>
      </x:c>
      <x:c r="B23" s="82" t="n">
        <x:f>B21-B22</x:f>
        <x:v>298.75</x:v>
      </x:c>
    </x:row>
    <x:row r="24">
      <x:c r="A24" t="str">
        <x:v>Gross Leverage</x:v>
      </x:c>
      <x:c r="B24" s="84" t="n">
        <x:f>B21/B7</x:f>
        <x:v>5</x:v>
      </x:c>
    </x:row>
    <x:row r="25">
      <x:c r="A25" t="str">
        <x:v>Net Leverage</x:v>
      </x:c>
      <x:c r="B25" s="84" t="n">
        <x:f>B23/B7</x:f>
        <x:v>4.838056680161944</x:v>
      </x:c>
    </x:row>
    <x:row r="26">
      <x:c r="A26" t="str">
        <x:v>Sponsor % of Equity Funding</x:v>
      </x:c>
      <x:c r="B26" s="83" t="n">
        <x:f>F16/(F15+F16)</x:f>
        <x:v>0.9199999999999999</x:v>
      </x:c>
    </x:row>
    <x:row r="27">
      <x:c r="A27" t="str">
        <x:v>Management % of Equity Funding</x:v>
      </x:c>
      <x:c r="B27" s="83" t="n">
        <x:f>F15/(F15+F16)</x:f>
        <x:v>0.08</x:v>
      </x:c>
    </x:row>
  </x:sheetData>
  <x:mergeCells>
    <x:mergeCell ref="A1:H1"/>
    <x:mergeCell ref="A2:H2"/>
    <x:mergeCell ref="A4:C4"/>
    <x:mergeCell ref="A12:C12"/>
    <x:mergeCell ref="E12:G12"/>
    <x:mergeCell ref="A20:G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Debt Schedule &amp; Covenant Headroom</x:v>
      </x:c>
      <x:c r="B1" s="5"/>
      <x:c r="C1" s="5"/>
      <x:c r="D1" s="5"/>
      <x:c r="E1" s="5"/>
      <x:c r="F1" s="5"/>
    </x:row>
    <x:row r="2" ht="30" customHeight="1">
      <x:c r="A2" s="11" t="str">
        <x:v>Cash sweep, revolver liquidity and credit guardrails</x:v>
      </x:c>
      <x:c r="B2" s="11"/>
      <x:c r="C2" s="11"/>
      <x:c r="D2" s="11"/>
      <x:c r="E2" s="11"/>
      <x:c r="F2" s="11"/>
    </x:row>
    <x:row r="4">
      <x:c r="A4" s="62" t="str">
        <x:v>$ in mm, except x</x:v>
      </x:c>
      <x:c r="B4" s="60" t="str">
        <x:v>2027E</x:v>
      </x:c>
      <x:c r="C4" s="60" t="str">
        <x:v>2028E</x:v>
      </x:c>
      <x:c r="D4" s="60" t="str">
        <x:v>2029E</x:v>
      </x:c>
      <x:c r="E4" s="60" t="str">
        <x:v>2030E</x:v>
      </x:c>
      <x:c r="F4" s="60" t="str">
        <x:v>2031E</x:v>
      </x:c>
    </x:row>
    <x:row r="5">
      <x:c r="A5" t="str">
        <x:v>Beginning Cash</x:v>
      </x:c>
      <x:c r="B5" s="82" t="n">
        <x:f>Inputs!B13</x:f>
        <x:v>10</x:v>
      </x:c>
      <x:c r="C5" s="82" t="n">
        <x:f>B19</x:f>
        <x:v>13.231515625</x:v>
      </x:c>
      <x:c r="D5" s="82" t="n">
        <x:f>C19</x:f>
        <x:v>15.295793876953127</x:v>
      </x:c>
      <x:c r="E5" s="82" t="n">
        <x:f>D19</x:f>
        <x:v>17.160385693414305</x:v>
      </x:c>
      <x:c r="F5" s="82" t="n">
        <x:f>E19</x:f>
        <x:v>18.879930261584306</x:v>
      </x:c>
    </x:row>
    <x:row r="6">
      <x:c r="A6" t="str">
        <x:v>Pre-Interest Free Cash Flow</x:v>
      </x:c>
      <x:c r="B6" s="82" t="n">
        <x:f>'Operating Case'!C15</x:f>
        <x:v>40.404812500000006</x:v>
      </x:c>
      <x:c r="C6" s="82" t="n">
        <x:f>'Operating Case'!D15</x:f>
        <x:v>44.487657500000005</x:v>
      </x:c>
      <x:c r="D6" s="82" t="n">
        <x:f>'Operating Case'!E15</x:f>
        <x:v>48.45904943749999</x:v>
      </x:c>
      <x:c r="E6" s="82" t="n">
        <x:f>'Operating Case'!F15</x:f>
        <x:v>51.61642121999999</x:v>
      </x:c>
      <x:c r="F6" s="82" t="n">
        <x:f>'Operating Case'!G15</x:f>
        <x:v>54.30902109359999</x:v>
      </x:c>
    </x:row>
    <x:row r="7">
      <x:c r="A7" t="str">
        <x:v>TLB Beginning Balance</x:v>
      </x:c>
      <x:c r="B7" s="82" t="n">
        <x:f>'Sources &amp; Uses'!F13</x:f>
        <x:v>247</x:v>
      </x:c>
      <x:c r="C7" s="82" t="n">
        <x:f>B20</x:f>
        <x:v>234.835453125</x:v>
      </x:c>
      <x:c r="D7" s="82" t="n">
        <x:f>C20</x:f>
        <x:v>216.4780714941406</x:v>
      </x:c>
      <x:c r="E7" s="82" t="n">
        <x:f>D20</x:f>
        <x:v>192.52691441389769</x:v>
      </x:c>
      <x:c r="F7" s="82" t="n">
        <x:f>E20</x:f>
        <x:v>163.41712362914475</x:v>
      </x:c>
    </x:row>
    <x:row r="8">
      <x:c r="A8" t="str">
        <x:v>TLB Mandatory Amortisation</x:v>
      </x:c>
      <x:c r="B8" s="82" t="n">
        <x:f>MIN('Sources &amp; Uses'!F13*Inputs!B25,B7)</x:f>
        <x:v>2.47</x:v>
      </x:c>
      <x:c r="C8" s="82" t="n">
        <x:f>MIN('Sources &amp; Uses'!F13*Inputs!B25,C7)</x:f>
        <x:v>2.47</x:v>
      </x:c>
      <x:c r="D8" s="82" t="n">
        <x:f>MIN('Sources &amp; Uses'!F13*Inputs!B25,D7)</x:f>
        <x:v>2.47</x:v>
      </x:c>
      <x:c r="E8" s="82" t="n">
        <x:f>MIN('Sources &amp; Uses'!F13*Inputs!B25,E7)</x:f>
        <x:v>2.47</x:v>
      </x:c>
      <x:c r="F8" s="82" t="n">
        <x:f>MIN('Sources &amp; Uses'!F13*Inputs!B25,F7)</x:f>
        <x:v>2.47</x:v>
      </x:c>
    </x:row>
    <x:row r="9">
      <x:c r="A9" t="str">
        <x:v>Second-Lien Beginning Balance</x:v>
      </x:c>
      <x:c r="B9" s="82" t="n">
        <x:f>'Sources &amp; Uses'!F14</x:f>
        <x:v>61.75</x:v>
      </x:c>
      <x:c r="C9" s="82" t="n">
        <x:f>B21</x:f>
        <x:v>61.75</x:v>
      </x:c>
      <x:c r="D9" s="82" t="n">
        <x:f>C21</x:f>
        <x:v>61.75</x:v>
      </x:c>
      <x:c r="E9" s="82" t="n">
        <x:f>D21</x:f>
        <x:v>61.75</x:v>
      </x:c>
      <x:c r="F9" s="82" t="n">
        <x:f>E21</x:f>
        <x:v>61.75</x:v>
      </x:c>
    </x:row>
    <x:row r="10">
      <x:c r="A10" t="str">
        <x:v>RCF Beginning Balance</x:v>
      </x:c>
      <x:c r="B10" s="50" t="n">
        <x:v>0</x:v>
      </x:c>
      <x:c r="C10" s="82" t="n">
        <x:f>B22</x:f>
        <x:v>0</x:v>
      </x:c>
      <x:c r="D10" s="82" t="n">
        <x:f>C22</x:f>
        <x:v>0</x:v>
      </x:c>
      <x:c r="E10" s="82" t="n">
        <x:f>D22</x:f>
        <x:v>0</x:v>
      </x:c>
      <x:c r="F10" s="82" t="n">
        <x:f>E22</x:f>
        <x:v>0</x:v>
      </x:c>
    </x:row>
    <x:row r="11">
      <x:c r="A11" t="str">
        <x:v>TLB Cash Interest</x:v>
      </x:c>
      <x:c r="B11" s="82" t="n">
        <x:f>B7*(MAX(Inputs!B23,Inputs!B24)+Inputs!B22)</x:f>
        <x:v>19.142500000000002</x:v>
      </x:c>
      <x:c r="C11" s="82" t="n">
        <x:f>C7*(MAX(Inputs!B23,Inputs!B24)+Inputs!B22)</x:f>
        <x:v>18.1997476171875</x:v>
      </x:c>
      <x:c r="D11" s="82" t="n">
        <x:f>D7*(MAX(Inputs!B23,Inputs!B24)+Inputs!B22)</x:f>
        <x:v>16.7770505407959</x:v>
      </x:c>
      <x:c r="E11" s="82" t="n">
        <x:f>E7*(MAX(Inputs!B23,Inputs!B24)+Inputs!B22)</x:f>
        <x:v>14.920835867077074</x:v>
      </x:c>
      <x:c r="F11" s="82" t="n">
        <x:f>F7*(MAX(Inputs!B23,Inputs!B24)+Inputs!B22)</x:f>
        <x:v>12.664827081258721</x:v>
      </x:c>
    </x:row>
    <x:row r="12">
      <x:c r="A12" t="str">
        <x:v>Second-Lien Cash Interest</x:v>
      </x:c>
      <x:c r="B12" s="82" t="n">
        <x:f>B9*Inputs!B27</x:f>
        <x:v>5.86625</x:v>
      </x:c>
      <x:c r="C12" s="82" t="n">
        <x:f>C9*Inputs!B27</x:f>
        <x:v>5.86625</x:v>
      </x:c>
      <x:c r="D12" s="82" t="n">
        <x:f>D9*Inputs!B27</x:f>
        <x:v>5.86625</x:v>
      </x:c>
      <x:c r="E12" s="82" t="n">
        <x:f>E9*Inputs!B27</x:f>
        <x:v>5.86625</x:v>
      </x:c>
      <x:c r="F12" s="82" t="n">
        <x:f>F9*Inputs!B27</x:f>
        <x:v>5.86625</x:v>
      </x:c>
    </x:row>
    <x:row r="13">
      <x:c r="A13" t="str">
        <x:v>RCF Cash Interest</x:v>
      </x:c>
      <x:c r="B13" s="82" t="n">
        <x:f>B10*(Inputs!B23+Inputs!B29)</x:f>
        <x:v>0</x:v>
      </x:c>
      <x:c r="C13" s="82" t="n">
        <x:f>C10*(Inputs!B23+Inputs!B29)</x:f>
        <x:v>0</x:v>
      </x:c>
      <x:c r="D13" s="82" t="n">
        <x:f>D10*(Inputs!B23+Inputs!B29)</x:f>
        <x:v>0</x:v>
      </x:c>
      <x:c r="E13" s="82" t="n">
        <x:f>E10*(Inputs!B23+Inputs!B29)</x:f>
        <x:v>0</x:v>
      </x:c>
      <x:c r="F13" s="82" t="n">
        <x:f>F10*(Inputs!B23+Inputs!B29)</x:f>
        <x:v>0</x:v>
      </x:c>
    </x:row>
    <x:row r="14">
      <x:c r="A14" s="92" t="str">
        <x:v>Total Cash Interest</x:v>
      </x:c>
      <x:c r="B14" s="93" t="n">
        <x:f>SUM(B11:B13)</x:f>
        <x:v>25.008750000000003</x:v>
      </x:c>
      <x:c r="C14" s="93" t="n">
        <x:f>SUM(C11:C13)</x:f>
        <x:v>24.065997617187502</x:v>
      </x:c>
      <x:c r="D14" s="93" t="n">
        <x:f>SUM(D11:D13)</x:f>
        <x:v>22.643300540795902</x:v>
      </x:c>
      <x:c r="E14" s="93" t="n">
        <x:f>SUM(E11:E13)</x:f>
        <x:v>20.787085867077074</x:v>
      </x:c>
      <x:c r="F14" s="93" t="n">
        <x:f>SUM(F11:F13)</x:f>
        <x:v>18.531077081258722</x:v>
      </x:c>
    </x:row>
    <x:row r="15">
      <x:c r="A15" t="str">
        <x:v>Cash Before Liquidity Actions</x:v>
      </x:c>
      <x:c r="B15" s="82" t="n">
        <x:f>B5+B6-B14-B8</x:f>
        <x:v>22.926062500000004</x:v>
      </x:c>
      <x:c r="C15" s="82" t="n">
        <x:f>C5+C6-C14-C8</x:f>
        <x:v>31.183175507812507</x:v>
      </x:c>
      <x:c r="D15" s="82" t="n">
        <x:f>D5+D6-D14-D8</x:f>
        <x:v>38.64154277365722</x:v>
      </x:c>
      <x:c r="E15" s="82" t="n">
        <x:f>E5+E6-E14-E8</x:f>
        <x:v>45.51972104633723</x:v>
      </x:c>
      <x:c r="F15" s="82" t="n">
        <x:f>F5+F6-F14-F8</x:f>
        <x:v>52.187874273925566</x:v>
      </x:c>
    </x:row>
    <x:row r="16">
      <x:c r="A16" t="str">
        <x:v>RCF Draw</x:v>
      </x:c>
      <x:c r="B16" s="82" t="n">
        <x:f>MIN(MAX(0,Inputs!B13-B15),MAX(0,'Operating Case'!B8*Inputs!B28-B10))</x:f>
        <x:v>0</x:v>
      </x:c>
      <x:c r="C16" s="82" t="n">
        <x:f>MIN(MAX(0,Inputs!B13-C15),MAX(0,'Operating Case'!B8*Inputs!B28-C10))</x:f>
        <x:v>0</x:v>
      </x:c>
      <x:c r="D16" s="82" t="n">
        <x:f>MIN(MAX(0,Inputs!B13-D15),MAX(0,'Operating Case'!B8*Inputs!B28-D10))</x:f>
        <x:v>0</x:v>
      </x:c>
      <x:c r="E16" s="82" t="n">
        <x:f>MIN(MAX(0,Inputs!B13-E15),MAX(0,'Operating Case'!B8*Inputs!B28-E10))</x:f>
        <x:v>0</x:v>
      </x:c>
      <x:c r="F16" s="82" t="n">
        <x:f>MIN(MAX(0,Inputs!B13-F15),MAX(0,'Operating Case'!B8*Inputs!B28-F10))</x:f>
        <x:v>0</x:v>
      </x:c>
    </x:row>
    <x:row r="17">
      <x:c r="A17" t="str">
        <x:v>RCF Repayment</x:v>
      </x:c>
      <x:c r="B17" s="82" t="n">
        <x:f>MIN(MAX(0,B15+B16-Inputs!B13),B10+B16)</x:f>
        <x:v>0</x:v>
      </x:c>
      <x:c r="C17" s="82" t="n">
        <x:f>MIN(MAX(0,C15+C16-Inputs!B13),C10+C16)</x:f>
        <x:v>0</x:v>
      </x:c>
      <x:c r="D17" s="82" t="n">
        <x:f>MIN(MAX(0,D15+D16-Inputs!B13),D10+D16)</x:f>
        <x:v>0</x:v>
      </x:c>
      <x:c r="E17" s="82" t="n">
        <x:f>MIN(MAX(0,E15+E16-Inputs!B13),E10+E16)</x:f>
        <x:v>0</x:v>
      </x:c>
      <x:c r="F17" s="82" t="n">
        <x:f>MIN(MAX(0,F15+F16-Inputs!B13),F10+F16)</x:f>
        <x:v>0</x:v>
      </x:c>
    </x:row>
    <x:row r="18">
      <x:c r="A18" t="str">
        <x:v>TLB Cash Sweep</x:v>
      </x:c>
      <x:c r="B18" s="82" t="n">
        <x:f>MIN(Inputs!B30*MAX(0,B15+B16-B17-Inputs!B13),MAX(0,B7-B8))</x:f>
        <x:v>9.694546875000004</x:v>
      </x:c>
      <x:c r="C18" s="82" t="n">
        <x:f>MIN(Inputs!B30*MAX(0,C15+C16-C17-Inputs!B13),MAX(0,C7-C8))</x:f>
        <x:v>15.88738163085938</x:v>
      </x:c>
      <x:c r="D18" s="82" t="n">
        <x:f>MIN(Inputs!B30*MAX(0,D15+D16-D17-Inputs!B13),MAX(0,D7-D8))</x:f>
        <x:v>21.481157080242916</x:v>
      </x:c>
      <x:c r="E18" s="82" t="n">
        <x:f>MIN(Inputs!B30*MAX(0,E15+E16-E17-Inputs!B13),MAX(0,E7-E8))</x:f>
        <x:v>26.639790784752925</x:v>
      </x:c>
      <x:c r="F18" s="82" t="n">
        <x:f>MIN(Inputs!B30*MAX(0,F15+F16-F17-Inputs!B13),MAX(0,F7-F8))</x:f>
        <x:v>31.640905705444176</x:v>
      </x:c>
    </x:row>
    <x:row r="19">
      <x:c r="A19" s="92" t="str">
        <x:v>Ending Cash</x:v>
      </x:c>
      <x:c r="B19" s="93" t="n">
        <x:f>B15+B16-B17-B18</x:f>
        <x:v>13.231515625</x:v>
      </x:c>
      <x:c r="C19" s="93" t="n">
        <x:f>C15+C16-C17-C18</x:f>
        <x:v>15.295793876953127</x:v>
      </x:c>
      <x:c r="D19" s="93" t="n">
        <x:f>D15+D16-D17-D18</x:f>
        <x:v>17.160385693414305</x:v>
      </x:c>
      <x:c r="E19" s="93" t="n">
        <x:f>E15+E16-E17-E18</x:f>
        <x:v>18.879930261584306</x:v>
      </x:c>
      <x:c r="F19" s="93" t="n">
        <x:f>F15+F16-F17-F18</x:f>
        <x:v>20.54696856848139</x:v>
      </x:c>
    </x:row>
    <x:row r="20">
      <x:c r="A20" t="str">
        <x:v>TLB Ending Balance</x:v>
      </x:c>
      <x:c r="B20" s="82" t="n">
        <x:f>MAX(0,B7-B8-B18)</x:f>
        <x:v>234.835453125</x:v>
      </x:c>
      <x:c r="C20" s="82" t="n">
        <x:f>MAX(0,C7-C8-C18)</x:f>
        <x:v>216.4780714941406</x:v>
      </x:c>
      <x:c r="D20" s="82" t="n">
        <x:f>MAX(0,D7-D8-D18)</x:f>
        <x:v>192.52691441389769</x:v>
      </x:c>
      <x:c r="E20" s="82" t="n">
        <x:f>MAX(0,E7-E8-E18)</x:f>
        <x:v>163.41712362914475</x:v>
      </x:c>
      <x:c r="F20" s="82" t="n">
        <x:f>MAX(0,F7-F8-F18)</x:f>
        <x:v>129.3062179237006</x:v>
      </x:c>
    </x:row>
    <x:row r="21">
      <x:c r="A21" t="str">
        <x:v>Second-Lien Ending Balance</x:v>
      </x:c>
      <x:c r="B21" s="82" t="n">
        <x:f>B9</x:f>
        <x:v>61.75</x:v>
      </x:c>
      <x:c r="C21" s="82" t="n">
        <x:f>C9</x:f>
        <x:v>61.75</x:v>
      </x:c>
      <x:c r="D21" s="82" t="n">
        <x:f>D9</x:f>
        <x:v>61.75</x:v>
      </x:c>
      <x:c r="E21" s="82" t="n">
        <x:f>E9</x:f>
        <x:v>61.75</x:v>
      </x:c>
      <x:c r="F21" s="82" t="n">
        <x:f>F9</x:f>
        <x:v>61.75</x:v>
      </x:c>
    </x:row>
    <x:row r="22">
      <x:c r="A22" t="str">
        <x:v>RCF Ending Balance</x:v>
      </x:c>
      <x:c r="B22" s="82" t="n">
        <x:f>MAX(0,B10+B16-B17)</x:f>
        <x:v>0</x:v>
      </x:c>
      <x:c r="C22" s="82" t="n">
        <x:f>MAX(0,C10+C16-C17)</x:f>
        <x:v>0</x:v>
      </x:c>
      <x:c r="D22" s="82" t="n">
        <x:f>MAX(0,D10+D16-D17)</x:f>
        <x:v>0</x:v>
      </x:c>
      <x:c r="E22" s="82" t="n">
        <x:f>MAX(0,E10+E16-E17)</x:f>
        <x:v>0</x:v>
      </x:c>
      <x:c r="F22" s="82" t="n">
        <x:f>MAX(0,F10+F16-F17)</x:f>
        <x:v>0</x:v>
      </x:c>
    </x:row>
    <x:row r="23">
      <x:c r="A23" s="92" t="str">
        <x:v>Gross Debt</x:v>
      </x:c>
      <x:c r="B23" s="93" t="n">
        <x:f>SUM(B20:B22)</x:f>
        <x:v>296.58545312499996</x:v>
      </x:c>
      <x:c r="C23" s="93" t="n">
        <x:f>SUM(C20:C22)</x:f>
        <x:v>278.22807149414064</x:v>
      </x:c>
      <x:c r="D23" s="93" t="n">
        <x:f>SUM(D20:D22)</x:f>
        <x:v>254.27691441389769</x:v>
      </x:c>
      <x:c r="E23" s="93" t="n">
        <x:f>SUM(E20:E22)</x:f>
        <x:v>225.16712362914475</x:v>
      </x:c>
      <x:c r="F23" s="93" t="n">
        <x:f>SUM(F20:F22)</x:f>
        <x:v>191.0562179237006</x:v>
      </x:c>
    </x:row>
    <x:row r="24">
      <x:c r="A24" s="92" t="str">
        <x:v>Net Debt</x:v>
      </x:c>
      <x:c r="B24" s="93" t="n">
        <x:f>B23-B19</x:f>
        <x:v>283.3539375</x:v>
      </x:c>
      <x:c r="C24" s="93" t="n">
        <x:f>C23-C19</x:f>
        <x:v>262.93227761718754</x:v>
      </x:c>
      <x:c r="D24" s="93" t="n">
        <x:f>D23-D19</x:f>
        <x:v>237.1165287204834</x:v>
      </x:c>
      <x:c r="E24" s="93" t="n">
        <x:f>E23-E19</x:f>
        <x:v>206.28719336756046</x:v>
      </x:c>
      <x:c r="F24" s="93" t="n">
        <x:f>F23-F19</x:f>
        <x:v>170.5092493552192</x:v>
      </x:c>
    </x:row>
    <x:row r="25">
      <x:c r="A25" t="str">
        <x:v>Interest Coverage</x:v>
      </x:c>
      <x:c r="B25" s="84" t="n">
        <x:f>'Operating Case'!C8/B14</x:f>
        <x:v>2.711500974658869</x:v>
      </x:c>
      <x:c r="C25" s="84" t="n">
        <x:f>'Operating Case'!D8/C14</x:f>
        <x:v>3.0633677096081966</x:v>
      </x:c>
      <x:c r="D25" s="84" t="n">
        <x:f>'Operating Case'!E8/D14</x:f>
        <x:v>3.5040995285579983</x:v>
      </x:c>
      <x:c r="E25" s="84" t="n">
        <x:f>'Operating Case'!F8/E14</x:f>
        <x:v>4.027776532765768</x:v>
      </x:c>
      <x:c r="F25" s="84" t="n">
        <x:f>'Operating Case'!G8/F14</x:f>
        <x:v>4.744032043388844</x:v>
      </x:c>
    </x:row>
    <x:row r="26">
      <x:c r="A26" t="str">
        <x:v>Net Leverage</x:v>
      </x:c>
      <x:c r="B26" s="84" t="n">
        <x:f>B24/'Operating Case'!C8</x:f>
        <x:v>4.178568268539512</x:v>
      </x:c>
      <x:c r="C26" s="84" t="n">
        <x:f>C24/'Operating Case'!D8</x:f>
        <x:v>3.5664891230306357</x:v>
      </x:c>
      <x:c r="D26" s="84" t="n">
        <x:f>D24/'Operating Case'!E8</x:f>
        <x:v>2.9884477319760148</x:v>
      </x:c>
      <x:c r="E26" s="84" t="n">
        <x:f>E24/'Operating Case'!F8</x:f>
        <x:v>2.4638444717965813</x:v>
      </x:c>
      <x:c r="F26" s="84" t="n">
        <x:f>F24/'Operating Case'!G8</x:f>
        <x:v>1.9395441331131051</x:v>
      </x:c>
    </x:row>
    <x:row r="27">
      <x:c r="A27" t="str">
        <x:v>Covenant / Liquidity Status</x:v>
      </x:c>
      <x:c r="B27" s="85" t="str">
        <x:f>IF(AND(B25&gt;=Inputs!B31,B22&lt;=(('Operating Case'!B8)*Inputs!B28)),"PASS","FAIL")</x:f>
        <x:v>PASS</x:v>
      </x:c>
      <x:c r="C27" s="85" t="str">
        <x:f>IF(AND(C25&gt;=Inputs!B31,C22&lt;=(('Operating Case'!B8)*Inputs!B28)),"PASS","FAIL")</x:f>
        <x:v>PASS</x:v>
      </x:c>
      <x:c r="D27" s="85" t="str">
        <x:f>IF(AND(D25&gt;=Inputs!B31,D22&lt;=(('Operating Case'!B8)*Inputs!B28)),"PASS","FAIL")</x:f>
        <x:v>PASS</x:v>
      </x:c>
      <x:c r="E27" s="85" t="str">
        <x:f>IF(AND(E25&gt;=Inputs!B31,E22&lt;=(('Operating Case'!B8)*Inputs!B28)),"PASS","FAIL")</x:f>
        <x:v>PASS</x:v>
      </x:c>
      <x:c r="F27" s="85" t="str">
        <x:f>IF(AND(F25&gt;=Inputs!B31,F22&lt;=(('Operating Case'!B8)*Inputs!B28)),"PASS","FAIL")</x:f>
        <x:v>PASS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95e6a5bceaf34b3c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6" hidden="0" customWidth="1"/>
    <x:col min="4" max="4" width="20" hidden="0" customWidth="1"/>
  </x:cols>
  <x:sheetData>
    <x:row r="1" ht="28" customHeight="1">
      <x:c r="A1" s="5" t="str">
        <x:v>Sponsor Returns &amp; Value Creation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1" t="str">
        <x:v>Base case sponsor economics and return decomposition</x:v>
      </x:c>
      <x:c r="B2" s="11"/>
      <x:c r="C2" s="11"/>
      <x:c r="D2" s="11"/>
      <x:c r="E2" s="11"/>
      <x:c r="F2" s="11"/>
      <x:c r="G2" s="11"/>
      <x:c r="H2" s="11"/>
    </x:row>
    <x:row r="4">
      <x:c r="A4" s="23" t="str">
        <x:v>Exit Analysis</x:v>
      </x:c>
      <x:c r="B4" s="23"/>
      <x:c r="C4" s="23"/>
      <x:c r="D4" s="23"/>
    </x:row>
    <x:row r="5">
      <x:c r="A5" t="str">
        <x:v>Exit EBITDA</x:v>
      </x:c>
      <x:c r="B5" s="82" t="n">
        <x:f>'Operating Case'!G8</x:f>
        <x:v>87.912023472</x:v>
      </x:c>
    </x:row>
    <x:row r="6">
      <x:c r="A6" t="str">
        <x:v>Exit EV / EBITDA</x:v>
      </x:c>
      <x:c r="B6" s="84" t="n">
        <x:f>Inputs!B18</x:f>
        <x:v>9.5</x:v>
      </x:c>
    </x:row>
    <x:row r="7">
      <x:c r="A7" t="str">
        <x:v>Exit Enterprise Value</x:v>
      </x:c>
      <x:c r="B7" s="82" t="n">
        <x:f>B5*B6</x:f>
        <x:v>835.164222984</x:v>
      </x:c>
    </x:row>
    <x:row r="8">
      <x:c r="A8" t="str">
        <x:v>Exit Net Debt</x:v>
      </x:c>
      <x:c r="B8" s="82" t="n">
        <x:f>'Debt Schedule'!F24</x:f>
        <x:v>170.5092493552192</x:v>
      </x:c>
    </x:row>
    <x:row r="9">
      <x:c r="A9" t="str">
        <x:v>Exit Equity Value</x:v>
      </x:c>
      <x:c r="B9" s="82" t="n">
        <x:f>B7-B8</x:f>
        <x:v>664.6549736287809</x:v>
      </x:c>
    </x:row>
    <x:row r="10">
      <x:c r="A10" t="str">
        <x:v>Sponsor Exit Proceeds</x:v>
      </x:c>
      <x:c r="B10" s="82" t="n">
        <x:f>B9*(1-Inputs!B16)</x:f>
        <x:v>611.4825757384784</x:v>
      </x:c>
    </x:row>
    <x:row r="11">
      <x:c r="A11" t="str">
        <x:v>Sponsor Initial Equity</x:v>
      </x:c>
      <x:c r="B11" s="82" t="n">
        <x:f>'Sources &amp; Uses'!F16</x:f>
        <x:v>223.3736999999999</x:v>
      </x:c>
    </x:row>
    <x:row r="12">
      <x:c r="A12" t="str">
        <x:v>Gross MOIC</x:v>
      </x:c>
      <x:c r="B12" s="84" t="n">
        <x:f>B10/B11</x:f>
        <x:v>2.7374868918698967</x:v>
      </x:c>
    </x:row>
    <x:row r="13">
      <x:c r="A13" t="str">
        <x:v>Gross IRR</x:v>
      </x:c>
      <x:c r="B13" s="83" t="n">
        <x:f>B12^(1/Inputs!B17)-1</x:f>
        <x:v>0.22312377954987594</x:v>
      </x:c>
    </x:row>
    <x:row r="15">
      <x:c r="A15" s="23" t="str">
        <x:v>Return Hurdle Check</x:v>
      </x:c>
      <x:c r="B15" s="23"/>
      <x:c r="C15" s="23"/>
      <x:c r="D15" s="23"/>
    </x:row>
    <x:row r="16">
      <x:c r="A16" t="str">
        <x:v>Target Gross IRR</x:v>
      </x:c>
      <x:c r="B16" s="66" t="n">
        <x:f>Inputs!B19</x:f>
        <x:v>0.25</x:v>
      </x:c>
    </x:row>
    <x:row r="17">
      <x:c r="A17" t="str">
        <x:v>Target Gross MOIC</x:v>
      </x:c>
      <x:c r="B17" s="80" t="n">
        <x:f>Inputs!B20</x:f>
        <x:v>2.5</x:v>
      </x:c>
    </x:row>
    <x:row r="18">
      <x:c r="A18" t="str">
        <x:v>IRR Status</x:v>
      </x:c>
      <x:c r="B18" t="str">
        <x:f>IF(B13&gt;=B16,"PASS","BELOW HURDLE")</x:f>
        <x:v>BELOW HURDLE</x:v>
      </x:c>
    </x:row>
    <x:row r="19">
      <x:c r="A19" t="str">
        <x:v>MOIC Status</x:v>
      </x:c>
      <x:c r="B19" t="str">
        <x:f>IF(B12&gt;=B17,"PASS","BELOW HURDLE")</x:f>
        <x:v>PASS</x:v>
      </x:c>
    </x:row>
    <x:row r="20">
      <x:c r="A20" t="str">
        <x:v>Overall Bid Status</x:v>
      </x:c>
      <x:c r="B20" t="str">
        <x:f>IF(AND(B18="PASS",B19="PASS"),"BID CLEARS BOTH HURDLES","RE-PRICE / IMPROVE CASE")</x:f>
        <x:v>RE-PRICE / IMPROVE CASE</x:v>
      </x:c>
    </x:row>
    <x:row r="22">
      <x:c r="A22" s="23" t="str">
        <x:v>Value Creation Bridge</x:v>
      </x:c>
      <x:c r="B22" s="23"/>
      <x:c r="C22" s="23"/>
      <x:c r="D22" s="23"/>
    </x:row>
    <x:row r="23">
      <x:c r="A23" t="str">
        <x:v>Entry Enterprise Value</x:v>
      </x:c>
      <x:c r="B23" s="82" t="n">
        <x:f>'Sources &amp; Uses'!B9</x:f>
        <x:v>524.875</x:v>
      </x:c>
    </x:row>
    <x:row r="24">
      <x:c r="A24" t="str">
        <x:v>Closing Net Debt</x:v>
      </x:c>
      <x:c r="B24" s="82" t="n">
        <x:f>'Sources &amp; Uses'!B23</x:f>
        <x:v>298.75</x:v>
      </x:c>
    </x:row>
    <x:row r="25">
      <x:c r="A25" t="str">
        <x:v>Closing Equity Value</x:v>
      </x:c>
      <x:c r="B25" s="82" t="n">
        <x:f>B23-B24</x:f>
        <x:v>226.125</x:v>
      </x:c>
    </x:row>
    <x:row r="26">
      <x:c r="A26" t="str">
        <x:v>EBITDA Growth Contribution</x:v>
      </x:c>
      <x:c r="B26" s="82" t="n">
        <x:f>(B5-'Sources &amp; Uses'!B7)*'Sources &amp; Uses'!B8</x:f>
        <x:v>222.377199512</x:v>
      </x:c>
    </x:row>
    <x:row r="27">
      <x:c r="A27" t="str">
        <x:v>Multiple Change Contribution</x:v>
      </x:c>
      <x:c r="B27" s="82" t="n">
        <x:f>B5*(B6-'Sources &amp; Uses'!B8)</x:f>
        <x:v>87.912023472</x:v>
      </x:c>
    </x:row>
    <x:row r="28">
      <x:c r="A28" t="str">
        <x:v>Deleveraging Contribution</x:v>
      </x:c>
      <x:c r="B28" s="82" t="n">
        <x:f>B24-B8</x:f>
        <x:v>128.2407506447808</x:v>
      </x:c>
    </x:row>
    <x:row r="29">
      <x:c r="A29" s="92" t="str">
        <x:v>Exit Equity Value</x:v>
      </x:c>
      <x:c r="B29" s="93" t="n">
        <x:f>SUM(B25:B28)</x:f>
        <x:v>664.6549736287809</x:v>
      </x:c>
    </x:row>
    <x:row r="30">
      <x:c r="A30" t="str">
        <x:v>Bridge Check</x:v>
      </x:c>
      <x:c r="B30" s="82" t="n">
        <x:f>B29-B9</x:f>
        <x:v>0</x:v>
      </x:c>
    </x:row>
  </x:sheetData>
  <x:mergeCells>
    <x:mergeCell ref="A1:H1"/>
    <x:mergeCell ref="A2:H2"/>
    <x:mergeCell ref="A4:D4"/>
    <x:mergeCell ref="A15:D15"/>
    <x:mergeCell ref="A22:D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8" hidden="0" customWidth="1"/>
  </x:cols>
  <x:sheetData>
    <x:row r="1" ht="28" customHeight="1">
      <x:c r="A1" s="5" t="str">
        <x:v>Reverse LBO &amp; Bid Ceiling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1" t="str">
        <x:v>What can the sponsor pay while preserving the return hurdle?</x:v>
      </x:c>
      <x:c r="B2" s="11"/>
      <x:c r="C2" s="11"/>
      <x:c r="D2" s="11"/>
      <x:c r="E2" s="11"/>
      <x:c r="F2" s="11"/>
      <x:c r="G2" s="11"/>
      <x:c r="H2" s="11"/>
    </x:row>
    <x:row r="4">
      <x:c r="A4" s="23" t="str">
        <x:v>Base-Case Bid Ceiling</x:v>
      </x:c>
      <x:c r="B4" s="23"/>
      <x:c r="C4" s="23"/>
      <x:c r="D4" s="23"/>
    </x:row>
    <x:row r="5">
      <x:c r="A5" t="str">
        <x:v>Sponsor Exit Proceeds</x:v>
      </x:c>
      <x:c r="B5" s="82" t="n">
        <x:f>'Returns'!B10</x:f>
        <x:v>611.4825757384784</x:v>
      </x:c>
    </x:row>
    <x:row r="6">
      <x:c r="A6" t="str">
        <x:v>Target IRR</x:v>
      </x:c>
      <x:c r="B6" s="83" t="n">
        <x:f>Inputs!B19</x:f>
        <x:v>0.25</x:v>
      </x:c>
    </x:row>
    <x:row r="7">
      <x:c r="A7" t="str">
        <x:v>Target MOIC</x:v>
      </x:c>
      <x:c r="B7" s="84" t="n">
        <x:f>Inputs!B20</x:f>
        <x:v>2.5</x:v>
      </x:c>
    </x:row>
    <x:row r="8">
      <x:c r="A8" t="str">
        <x:v>Maximum Sponsor Equity - IRR</x:v>
      </x:c>
      <x:c r="B8" s="82" t="n">
        <x:f>B5/(1+B6)^Inputs!B17</x:f>
        <x:v>200.3706104179846</x:v>
      </x:c>
    </x:row>
    <x:row r="9">
      <x:c r="A9" t="str">
        <x:v>Maximum Sponsor Equity - MOIC</x:v>
      </x:c>
      <x:c r="B9" s="82" t="n">
        <x:f>B5/B7</x:f>
        <x:v>244.59303029539137</x:v>
      </x:c>
    </x:row>
    <x:row r="10">
      <x:c r="A10" t="str">
        <x:v>Binding Sponsor Equity</x:v>
      </x:c>
      <x:c r="B10" s="82" t="n">
        <x:f>MIN(B8,B9)</x:f>
        <x:v>200.3706104179846</x:v>
      </x:c>
    </x:row>
    <x:row r="11">
      <x:c r="A11" t="str">
        <x:v>Maximum Total Equity Funding</x:v>
      </x:c>
      <x:c r="B11" s="82" t="n">
        <x:f>B10/(1-Inputs!B16)</x:f>
        <x:v>217.7941417586789</x:v>
      </x:c>
    </x:row>
    <x:row r="12">
      <x:c r="A12" t="str">
        <x:v>Debt Sources</x:v>
      </x:c>
      <x:c r="B12" s="82" t="n">
        <x:f>'Sources &amp; Uses'!F13+'Sources &amp; Uses'!F14</x:f>
        <x:v>308.75</x:v>
      </x:c>
    </x:row>
    <x:row r="13">
      <x:c r="A13" t="str">
        <x:v>Minimum Cash</x:v>
      </x:c>
      <x:c r="B13" s="82" t="n">
        <x:f>Inputs!B13</x:f>
        <x:v>10</x:v>
      </x:c>
    </x:row>
    <x:row r="14">
      <x:c r="A14" t="str">
        <x:v>Transaction Fees % EV</x:v>
      </x:c>
      <x:c r="B14" s="85" t="n">
        <x:f>Inputs!B14</x:f>
        <x:v>0.02</x:v>
      </x:c>
    </x:row>
    <x:row r="15">
      <x:c r="A15" t="str">
        <x:v>Financing Fees</x:v>
      </x:c>
      <x:c r="B15" s="82" t="n">
        <x:f>'Sources &amp; Uses'!B17</x:f>
        <x:v>6.175</x:v>
      </x:c>
    </x:row>
    <x:row r="16">
      <x:c r="A16" t="str">
        <x:v>Maximum Enterprise Value</x:v>
      </x:c>
      <x:c r="B16" s="82" t="n">
        <x:f>(B11-B13-B15+B12)/(1+B14)</x:f>
        <x:v>500.3619036849793</x:v>
      </x:c>
    </x:row>
    <x:row r="17">
      <x:c r="A17" t="str">
        <x:v>Maximum Entry EV / EBITDA</x:v>
      </x:c>
      <x:c r="B17" s="84" t="n">
        <x:f>B16/'Sources &amp; Uses'!B7</x:f>
        <x:v>8.103026780323551</x:v>
      </x:c>
    </x:row>
    <x:row r="18">
      <x:c r="A18" t="str">
        <x:v>Current Entry EV / EBITDA</x:v>
      </x:c>
      <x:c r="B18" s="84" t="n">
        <x:f>Inputs!B11</x:f>
        <x:v>8.5</x:v>
      </x:c>
    </x:row>
    <x:row r="19">
      <x:c r="A19" t="str">
        <x:v>Bid Gap</x:v>
      </x:c>
      <x:c r="B19" s="84" t="n">
        <x:f>B17-B18</x:f>
        <x:v>-0.3969732196764486</x:v>
      </x:c>
    </x:row>
    <x:row r="20">
      <x:c r="A20" t="str">
        <x:v>Bid Gap ($mm EV)</x:v>
      </x:c>
      <x:c r="B20" s="82" t="n">
        <x:f>B19*'Sources &amp; Uses'!B7</x:f>
        <x:v>-24.5130963150207</x:v>
      </x:c>
    </x:row>
    <x:row r="23">
      <x:c r="A23" s="23" t="str">
        <x:v>Bid Envelope - Maximum Entry EV / EBITDA</x:v>
      </x:c>
      <x:c r="B23" s="23"/>
      <x:c r="C23" s="23"/>
      <x:c r="D23" s="23"/>
      <x:c r="E23" s="23"/>
      <x:c r="F23" s="23"/>
      <x:c r="G23" s="23"/>
    </x:row>
    <x:row r="24">
      <x:c r="A24" s="40" t="str">
        <x:v>Exit Multiple / Target IRR</x:v>
      </x:c>
      <x:c r="B24" s="96" t="n">
        <x:v>0.2</x:v>
      </x:c>
      <x:c r="C24" s="96" t="n">
        <x:v>0.225</x:v>
      </x:c>
      <x:c r="D24" s="96" t="n">
        <x:v>0.25</x:v>
      </x:c>
      <x:c r="E24" s="96" t="n">
        <x:v>0.275</x:v>
      </x:c>
      <x:c r="F24" s="96" t="n">
        <x:v>0.3</x:v>
      </x:c>
    </x:row>
    <x:row r="25">
      <x:c r="A25" s="80" t="n">
        <x:v>8</x:v>
      </x:c>
      <x:c r="B25" s="84" t="n">
        <x:f>((('Operating Case'!G8*$A25-'Debt Schedule'!F24)*(1-Inputs!B16)/(1+B$24)^Inputs!B17)/(1-Inputs!B16)-Inputs!B13-'Sources &amp; Uses'!B17+('Sources &amp; Uses'!F13+'Sources &amp; Uses'!F14))/(1+Inputs!B14)/'Sources &amp; Uses'!B7</x:f>
        <x:v>8.044615721435692</x:v>
      </x:c>
      <x:c r="C25" s="84" t="n">
        <x:f>((('Operating Case'!G8*$A25-'Debt Schedule'!F24)*(1-Inputs!B16)/(1+C$24)^Inputs!B17)/(1-Inputs!B16)-Inputs!B13-'Sources &amp; Uses'!B17+('Sources &amp; Uses'!F13+'Sources &amp; Uses'!F14))/(1+Inputs!B14)/'Sources &amp; Uses'!B7</x:f>
        <x:v>7.711604345314449</x:v>
      </x:c>
      <x:c r="D25" s="84" t="n">
        <x:f>((('Operating Case'!G8*$A25-'Debt Schedule'!F24)*(1-Inputs!B16)/(1+D$24)^Inputs!B17)/(1-Inputs!B16)-Inputs!B13-'Sources &amp; Uses'!B17+('Sources &amp; Uses'!F13+'Sources &amp; Uses'!F14))/(1+Inputs!B14)/'Sources &amp; Uses'!B7</x:f>
        <x:v>7.416982201821409</x:v>
      </x:c>
      <x:c r="E25" s="84" t="n">
        <x:f>((('Operating Case'!G8*$A25-'Debt Schedule'!F24)*(1-Inputs!B16)/(1+E$24)^Inputs!B17)/(1-Inputs!B16)-Inputs!B13-'Sources &amp; Uses'!B17+('Sources &amp; Uses'!F13+'Sources &amp; Uses'!F14))/(1+Inputs!B14)/'Sources &amp; Uses'!B7</x:f>
        <x:v>7.1556841649917615</x:v>
      </x:c>
      <x:c r="F25" s="84" t="n">
        <x:f>((('Operating Case'!G8*$A25-'Debt Schedule'!F24)*(1-Inputs!B16)/(1+F$24)^Inputs!B17)/(1-Inputs!B16)-Inputs!B13-'Sources &amp; Uses'!B17+('Sources &amp; Uses'!F13+'Sources &amp; Uses'!F14))/(1+Inputs!B14)/'Sources &amp; Uses'!B7</x:f>
        <x:v>6.923394664552812</x:v>
      </x:c>
    </x:row>
    <x:row r="26">
      <x:c r="A26" s="80" t="n">
        <x:v>9</x:v>
      </x:c>
      <x:c r="B26" s="84" t="n">
        <x:f>((('Operating Case'!G8*$A26-'Debt Schedule'!F24)*(1-Inputs!B16)/(1+B$24)^Inputs!B17)/(1-Inputs!B16)-Inputs!B13-'Sources &amp; Uses'!B17+('Sources &amp; Uses'!F13+'Sources &amp; Uses'!F14))/(1+Inputs!B14)/'Sources &amp; Uses'!B7</x:f>
        <x:v>8.60554087097894</x:v>
      </x:c>
      <x:c r="C26" s="84" t="n">
        <x:f>((('Operating Case'!G8*$A26-'Debt Schedule'!F24)*(1-Inputs!B16)/(1+C$24)^Inputs!B17)/(1-Inputs!B16)-Inputs!B13-'Sources &amp; Uses'!B17+('Sources &amp; Uses'!F13+'Sources &amp; Uses'!F14))/(1+Inputs!B14)/'Sources &amp; Uses'!B7</x:f>
        <x:v>8.217581256072434</x:v>
      </x:c>
      <x:c r="D26" s="84" t="n">
        <x:f>((('Operating Case'!G8*$A26-'Debt Schedule'!F24)*(1-Inputs!B16)/(1+D$24)^Inputs!B17)/(1-Inputs!B16)-Inputs!B13-'Sources &amp; Uses'!B17+('Sources &amp; Uses'!F13+'Sources &amp; Uses'!F14))/(1+Inputs!B14)/'Sources &amp; Uses'!B7</x:f>
        <x:v>7.87434525415617</x:v>
      </x:c>
      <x:c r="E26" s="84" t="n">
        <x:f>((('Operating Case'!G8*$A26-'Debt Schedule'!F24)*(1-Inputs!B16)/(1+E$24)^Inputs!B17)/(1-Inputs!B16)-Inputs!B13-'Sources &amp; Uses'!B17+('Sources &amp; Uses'!F13+'Sources &amp; Uses'!F14))/(1+Inputs!B14)/'Sources &amp; Uses'!B7</x:f>
        <x:v>7.569931972769208</x:v>
      </x:c>
      <x:c r="F26" s="84" t="n">
        <x:f>((('Operating Case'!G8*$A26-'Debt Schedule'!F24)*(1-Inputs!B16)/(1+F$24)^Inputs!B17)/(1-Inputs!B16)-Inputs!B13-'Sources &amp; Uses'!B17+('Sources &amp; Uses'!F13+'Sources &amp; Uses'!F14))/(1+Inputs!B14)/'Sources &amp; Uses'!B7</x:f>
        <x:v>7.299313754896948</x:v>
      </x:c>
    </x:row>
    <x:row r="27">
      <x:c r="A27" s="80" t="n">
        <x:v>9.5</x:v>
      </x:c>
      <x:c r="B27" s="84" t="n">
        <x:f>((('Operating Case'!G8*$A27-'Debt Schedule'!F24)*(1-Inputs!B16)/(1+B$24)^Inputs!B17)/(1-Inputs!B16)-Inputs!B13-'Sources &amp; Uses'!B17+('Sources &amp; Uses'!F13+'Sources &amp; Uses'!F14))/(1+Inputs!B14)/'Sources &amp; Uses'!B7</x:f>
        <x:v>8.886003445750564</x:v>
      </x:c>
      <x:c r="C27" s="84" t="n">
        <x:f>((('Operating Case'!G8*$A27-'Debt Schedule'!F24)*(1-Inputs!B16)/(1+C$24)^Inputs!B17)/(1-Inputs!B16)-Inputs!B13-'Sources &amp; Uses'!B17+('Sources &amp; Uses'!F13+'Sources &amp; Uses'!F14))/(1+Inputs!B14)/'Sources &amp; Uses'!B7</x:f>
        <x:v>8.470569711451429</x:v>
      </x:c>
      <x:c r="D27" s="84" t="n">
        <x:f>((('Operating Case'!G8*$A27-'Debt Schedule'!F24)*(1-Inputs!B16)/(1+D$24)^Inputs!B17)/(1-Inputs!B16)-Inputs!B13-'Sources &amp; Uses'!B17+('Sources &amp; Uses'!F13+'Sources &amp; Uses'!F14))/(1+Inputs!B14)/'Sources &amp; Uses'!B7</x:f>
        <x:v>8.103026780323551</x:v>
      </x:c>
      <x:c r="E27" s="84" t="n">
        <x:f>((('Operating Case'!G8*$A27-'Debt Schedule'!F24)*(1-Inputs!B16)/(1+E$24)^Inputs!B17)/(1-Inputs!B16)-Inputs!B13-'Sources &amp; Uses'!B17+('Sources &amp; Uses'!F13+'Sources &amp; Uses'!F14))/(1+Inputs!B14)/'Sources &amp; Uses'!B7</x:f>
        <x:v>7.777055876657931</x:v>
      </x:c>
      <x:c r="F27" s="84" t="n">
        <x:f>((('Operating Case'!G8*$A27-'Debt Schedule'!F24)*(1-Inputs!B16)/(1+F$24)^Inputs!B17)/(1-Inputs!B16)-Inputs!B13-'Sources &amp; Uses'!B17+('Sources &amp; Uses'!F13+'Sources &amp; Uses'!F14))/(1+Inputs!B14)/'Sources &amp; Uses'!B7</x:f>
        <x:v>7.487273300069017</x:v>
      </x:c>
    </x:row>
    <x:row r="28">
      <x:c r="A28" s="80" t="n">
        <x:v>10</x:v>
      </x:c>
      <x:c r="B28" s="84" t="n">
        <x:f>((('Operating Case'!G8*$A28-'Debt Schedule'!F24)*(1-Inputs!B16)/(1+B$24)^Inputs!B17)/(1-Inputs!B16)-Inputs!B13-'Sources &amp; Uses'!B17+('Sources &amp; Uses'!F13+'Sources &amp; Uses'!F14))/(1+Inputs!B14)/'Sources &amp; Uses'!B7</x:f>
        <x:v>9.166466020522188</x:v>
      </x:c>
      <x:c r="C28" s="84" t="n">
        <x:f>((('Operating Case'!G8*$A28-'Debt Schedule'!F24)*(1-Inputs!B16)/(1+C$24)^Inputs!B17)/(1-Inputs!B16)-Inputs!B13-'Sources &amp; Uses'!B17+('Sources &amp; Uses'!F13+'Sources &amp; Uses'!F14))/(1+Inputs!B14)/'Sources &amp; Uses'!B7</x:f>
        <x:v>8.723558166830422</x:v>
      </x:c>
      <x:c r="D28" s="84" t="n">
        <x:f>((('Operating Case'!G8*$A28-'Debt Schedule'!F24)*(1-Inputs!B16)/(1+D$24)^Inputs!B17)/(1-Inputs!B16)-Inputs!B13-'Sources &amp; Uses'!B17+('Sources &amp; Uses'!F13+'Sources &amp; Uses'!F14))/(1+Inputs!B14)/'Sources &amp; Uses'!B7</x:f>
        <x:v>8.331708306490933</x:v>
      </x:c>
      <x:c r="E28" s="84" t="n">
        <x:f>((('Operating Case'!G8*$A28-'Debt Schedule'!F24)*(1-Inputs!B16)/(1+E$24)^Inputs!B17)/(1-Inputs!B16)-Inputs!B13-'Sources &amp; Uses'!B17+('Sources &amp; Uses'!F13+'Sources &amp; Uses'!F14))/(1+Inputs!B14)/'Sources &amp; Uses'!B7</x:f>
        <x:v>7.984179780546655</x:v>
      </x:c>
      <x:c r="F28" s="84" t="n">
        <x:f>((('Operating Case'!G8*$A28-'Debt Schedule'!F24)*(1-Inputs!B16)/(1+F$24)^Inputs!B17)/(1-Inputs!B16)-Inputs!B13-'Sources &amp; Uses'!B17+('Sources &amp; Uses'!F13+'Sources &amp; Uses'!F14))/(1+Inputs!B14)/'Sources &amp; Uses'!B7</x:f>
        <x:v>7.675232845241084</x:v>
      </x:c>
    </x:row>
    <x:row r="29">
      <x:c r="A29" s="80" t="n">
        <x:v>11</x:v>
      </x:c>
      <x:c r="B29" s="84" t="n">
        <x:f>((('Operating Case'!G8*$A29-'Debt Schedule'!F24)*(1-Inputs!B16)/(1+B$24)^Inputs!B17)/(1-Inputs!B16)-Inputs!B13-'Sources &amp; Uses'!B17+('Sources &amp; Uses'!F13+'Sources &amp; Uses'!F14))/(1+Inputs!B14)/'Sources &amp; Uses'!B7</x:f>
        <x:v>9.727391170065436</x:v>
      </x:c>
      <x:c r="C29" s="84" t="n">
        <x:f>((('Operating Case'!G8*$A29-'Debt Schedule'!F24)*(1-Inputs!B16)/(1+C$24)^Inputs!B17)/(1-Inputs!B16)-Inputs!B13-'Sources &amp; Uses'!B17+('Sources &amp; Uses'!F13+'Sources &amp; Uses'!F14))/(1+Inputs!B14)/'Sources &amp; Uses'!B7</x:f>
        <x:v>9.229535077588409</x:v>
      </x:c>
      <x:c r="D29" s="84" t="n">
        <x:f>((('Operating Case'!G8*$A29-'Debt Schedule'!F24)*(1-Inputs!B16)/(1+D$24)^Inputs!B17)/(1-Inputs!B16)-Inputs!B13-'Sources &amp; Uses'!B17+('Sources &amp; Uses'!F13+'Sources &amp; Uses'!F14))/(1+Inputs!B14)/'Sources &amp; Uses'!B7</x:f>
        <x:v>8.78907135882569</x:v>
      </x:c>
      <x:c r="E29" s="84" t="n">
        <x:f>((('Operating Case'!G8*$A29-'Debt Schedule'!F24)*(1-Inputs!B16)/(1+E$24)^Inputs!B17)/(1-Inputs!B16)-Inputs!B13-'Sources &amp; Uses'!B17+('Sources &amp; Uses'!F13+'Sources &amp; Uses'!F14))/(1+Inputs!B14)/'Sources &amp; Uses'!B7</x:f>
        <x:v>8.3984275883241</x:v>
      </x:c>
      <x:c r="F29" s="84" t="n">
        <x:f>((('Operating Case'!G8*$A29-'Debt Schedule'!F24)*(1-Inputs!B16)/(1+F$24)^Inputs!B17)/(1-Inputs!B16)-Inputs!B13-'Sources &amp; Uses'!B17+('Sources &amp; Uses'!F13+'Sources &amp; Uses'!F14))/(1+Inputs!B14)/'Sources &amp; Uses'!B7</x:f>
        <x:v>8.05115193558522</x:v>
      </x:c>
    </x:row>
  </x:sheetData>
  <x:mergeCells>
    <x:mergeCell ref="A1:H1"/>
    <x:mergeCell ref="A2:H2"/>
    <x:mergeCell ref="A4:D4"/>
    <x:mergeCell ref="A23:G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28" customHeight="1">
      <x:c r="A1" s="5" t="str">
        <x:v>Returns Sensitivity &amp; Downside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1" t="str">
        <x:v>How fragile are returns to operating performance and exit valuation?</x:v>
      </x:c>
      <x:c r="B2" s="11"/>
      <x:c r="C2" s="11"/>
      <x:c r="D2" s="11"/>
      <x:c r="E2" s="11"/>
      <x:c r="F2" s="11"/>
      <x:c r="G2" s="11"/>
      <x:c r="H2" s="11"/>
    </x:row>
    <x:row r="4">
      <x:c r="A4" s="23" t="str">
        <x:v>Gross IRR Sensitivity - Exit EBITDA vs Exit Multiple</x:v>
      </x:c>
      <x:c r="B4" s="23"/>
      <x:c r="C4" s="23"/>
      <x:c r="D4" s="23"/>
      <x:c r="E4" s="23"/>
      <x:c r="F4" s="23"/>
      <x:c r="G4" s="23"/>
    </x:row>
    <x:row r="5">
      <x:c r="A5" s="40" t="str">
        <x:v>Exit EBITDA vs Base</x:v>
      </x:c>
      <x:c r="B5" s="98" t="n">
        <x:v>8</x:v>
      </x:c>
      <x:c r="C5" s="98" t="n">
        <x:v>8.75</x:v>
      </x:c>
      <x:c r="D5" s="98" t="n">
        <x:v>9.5</x:v>
      </x:c>
      <x:c r="E5" s="98" t="n">
        <x:v>10.25</x:v>
      </x:c>
      <x:c r="F5" s="98" t="n">
        <x:v>11</x:v>
      </x:c>
    </x:row>
    <x:row r="6">
      <x:c r="A6" s="66" t="n">
        <x:v>0.8</x:v>
      </x:c>
      <x:c r="B6" s="83" t="n">
        <x:f>MAX(0,((('Operating Case'!G8*$A6*B$5-'Debt Schedule'!F24)*(1-Inputs!B16)/'Sources &amp; Uses'!F16)^(1/Inputs!B17)-1))</x:f>
        <x:v>0.10061812999070718</x:v>
      </x:c>
      <x:c r="C6" s="83" t="n">
        <x:f>MAX(0,((('Operating Case'!G8*$A6*C$5-'Debt Schedule'!F24)*(1-Inputs!B16)/'Sources &amp; Uses'!F16)^(1/Inputs!B17)-1))</x:f>
        <x:v>0.12875254224428168</x:v>
      </x:c>
      <x:c r="D6" s="83" t="n">
        <x:f>MAX(0,((('Operating Case'!G8*$A6*D$5-'Debt Schedule'!F24)*(1-Inputs!B16)/'Sources &amp; Uses'!F16)^(1/Inputs!B17)-1))</x:f>
        <x:v>0.1543329560073592</x:v>
      </x:c>
      <x:c r="E6" s="83" t="n">
        <x:f>MAX(0,((('Operating Case'!G8*$A6*E$5-'Debt Schedule'!F24)*(1-Inputs!B16)/'Sources &amp; Uses'!F16)^(1/Inputs!B17)-1))</x:f>
        <x:v>0.17782835365076033</x:v>
      </x:c>
      <x:c r="F6" s="83" t="n">
        <x:f>MAX(0,((('Operating Case'!G8*$A6*F$5-'Debt Schedule'!F24)*(1-Inputs!B16)/'Sources &amp; Uses'!F16)^(1/Inputs!B17)-1))</x:f>
        <x:v>0.19958605389426443</x:v>
      </x:c>
    </x:row>
    <x:row r="7">
      <x:c r="A7" s="66" t="n">
        <x:v>0.9</x:v>
      </x:c>
      <x:c r="B7" s="83" t="n">
        <x:f>MAX(0,((('Operating Case'!G8*$A7*B$5-'Debt Schedule'!F24)*(1-Inputs!B16)/'Sources &amp; Uses'!F16)^(1/Inputs!B17)-1))</x:f>
        <x:v>0.13753688950358556</x:v>
      </x:c>
      <x:c r="C7" s="83" t="n">
        <x:f>MAX(0,((('Operating Case'!G8*$A7*C$5-'Debt Schedule'!F24)*(1-Inputs!B16)/'Sources &amp; Uses'!F16)^(1/Inputs!B17)-1))</x:f>
        <x:v>0.1653372507139299</x:v>
      </x:c>
      <x:c r="D7" s="83" t="n">
        <x:f>MAX(0,((('Operating Case'!G8*$A7*D$5-'Debt Schedule'!F24)*(1-Inputs!B16)/'Sources &amp; Uses'!F16)^(1/Inputs!B17)-1))</x:f>
        <x:v>0.19071299987246348</x:v>
      </x:c>
      <x:c r="E7" s="83" t="n">
        <x:f>MAX(0,((('Operating Case'!G8*$A7*E$5-'Debt Schedule'!F24)*(1-Inputs!B16)/'Sources &amp; Uses'!F16)^(1/Inputs!B17)-1))</x:f>
        <x:v>0.21409357123539818</x:v>
      </x:c>
      <x:c r="F7" s="83" t="n">
        <x:f>MAX(0,((('Operating Case'!G8*$A7*F$5-'Debt Schedule'!F24)*(1-Inputs!B16)/'Sources &amp; Uses'!F16)^(1/Inputs!B17)-1))</x:f>
        <x:v>0.23580059769457384</x:v>
      </x:c>
    </x:row>
    <x:row r="8">
      <x:c r="A8" s="66" t="n">
        <x:v>1</x:v>
      </x:c>
      <x:c r="B8" s="83" t="n">
        <x:f>MAX(0,((('Operating Case'!G8*$A8*B$5-'Debt Schedule'!F24)*(1-Inputs!B16)/'Sources &amp; Uses'!F16)^(1/Inputs!B17)-1))</x:f>
        <x:v>0.17020479069104955</x:v>
      </x:c>
      <x:c r="C8" s="83" t="n">
        <x:f>MAX(0,((('Operating Case'!G8*$A8*C$5-'Debt Schedule'!F24)*(1-Inputs!B16)/'Sources &amp; Uses'!F16)^(1/Inputs!B17)-1))</x:f>
        <x:v>0.19783238248937707</x:v>
      </x:c>
      <x:c r="D8" s="83" t="n">
        <x:f>MAX(0,((('Operating Case'!G8*$A8*D$5-'Debt Schedule'!F24)*(1-Inputs!B16)/'Sources &amp; Uses'!F16)^(1/Inputs!B17)-1))</x:f>
        <x:v>0.22312377954987594</x:v>
      </x:c>
      <x:c r="E8" s="83" t="n">
        <x:f>MAX(0,((('Operating Case'!G8*$A8*E$5-'Debt Schedule'!F24)*(1-Inputs!B16)/'Sources &amp; Uses'!F16)^(1/Inputs!B17)-1))</x:f>
        <x:v>0.24648134343258432</x:v>
      </x:c>
      <x:c r="F8" s="83" t="n">
        <x:f>MAX(0,((('Operating Case'!G8*$A8*F$5-'Debt Schedule'!F24)*(1-Inputs!B16)/'Sources &amp; Uses'!F16)^(1/Inputs!B17)-1))</x:f>
        <x:v>0.26820897694752777</x:v>
      </x:c>
    </x:row>
    <x:row r="9">
      <x:c r="A9" s="66" t="n">
        <x:v>1.1</x:v>
      </x:c>
      <x:c r="B9" s="83" t="n">
        <x:f>MAX(0,((('Operating Case'!G8*$A9*B$5-'Debt Schedule'!F24)*(1-Inputs!B16)/'Sources &amp; Uses'!F16)^(1/Inputs!B17)-1))</x:f>
        <x:v>0.19958605389426443</x:v>
      </x:c>
      <x:c r="C9" s="83" t="n">
        <x:f>MAX(0,((('Operating Case'!G8*$A9*C$5-'Debt Schedule'!F24)*(1-Inputs!B16)/'Sources &amp; Uses'!F16)^(1/Inputs!B17)-1))</x:f>
        <x:v>0.22714177188820428</x:v>
      </x:c>
      <x:c r="D9" s="83" t="n">
        <x:f>MAX(0,((('Operating Case'!G8*$A9*D$5-'Debt Schedule'!F24)*(1-Inputs!B16)/'Sources &amp; Uses'!F16)^(1/Inputs!B17)-1))</x:f>
        <x:v>0.2524239901330396</x:v>
      </x:c>
      <x:c r="E9" s="83" t="n">
        <x:f>MAX(0,((('Operating Case'!G8*$A9*E$5-'Debt Schedule'!F24)*(1-Inputs!B16)/'Sources &amp; Uses'!F16)^(1/Inputs!B17)-1))</x:f>
        <x:v>0.2758156323149672</x:v>
      </x:c>
      <x:c r="F9" s="83" t="n">
        <x:f>MAX(0,((('Operating Case'!G8*$A9*F$5-'Debt Schedule'!F24)*(1-Inputs!B16)/'Sources &amp; Uses'!F16)^(1/Inputs!B17)-1))</x:f>
        <x:v>0.2976078132841169</x:v>
      </x:c>
    </x:row>
    <x:row r="10">
      <x:c r="A10" s="66" t="n">
        <x:v>1.2</x:v>
      </x:c>
      <x:c r="B10" s="83" t="n">
        <x:f>MAX(0,((('Operating Case'!G8*$A10*B$5-'Debt Schedule'!F24)*(1-Inputs!B16)/'Sources &amp; Uses'!F16)^(1/Inputs!B17)-1))</x:f>
        <x:v>0.22634237779682786</x:v>
      </x:c>
      <x:c r="C10" s="83" t="n">
        <x:f>MAX(0,((('Operating Case'!G8*$A10*C$5-'Debt Schedule'!F24)*(1-Inputs!B16)/'Sources &amp; Uses'!F16)^(1/Inputs!B17)-1))</x:f>
        <x:v>0.2538921736039861</x:v>
      </x:c>
      <x:c r="D10" s="83" t="n">
        <x:f>MAX(0,((('Operating Case'!G8*$A10*D$5-'Debt Schedule'!F24)*(1-Inputs!B16)/'Sources &amp; Uses'!F16)^(1/Inputs!B17)-1))</x:f>
        <x:v>0.27921406530352977</x:v>
      </x:c>
      <x:c r="E10" s="83" t="n">
        <x:f>MAX(0,((('Operating Case'!G8*$A10*E$5-'Debt Schedule'!F24)*(1-Inputs!B16)/'Sources &amp; Uses'!F16)^(1/Inputs!B17)-1))</x:f>
        <x:v>0.30267652253490196</x:v>
      </x:c>
      <x:c r="F10" s="83" t="n">
        <x:f>MAX(0,((('Operating Case'!G8*$A10*F$5-'Debt Schedule'!F24)*(1-Inputs!B16)/'Sources &amp; Uses'!F16)^(1/Inputs!B17)-1))</x:f>
        <x:v>0.32456113431837097</x:v>
      </x:c>
    </x:row>
    <x:row r="13">
      <x:c r="A13" s="23" t="str">
        <x:v>Scenario Underwriting</x:v>
      </x:c>
      <x:c r="B13" s="23"/>
      <x:c r="C13" s="23"/>
      <x:c r="D13" s="23"/>
      <x:c r="E13" s="23"/>
      <x:c r="F13" s="23"/>
      <x:c r="G13" s="23"/>
      <x:c r="H13" s="23"/>
    </x:row>
    <x:row r="14">
      <x:c r="A14" s="40" t="str">
        <x:v>Scenario</x:v>
      </x:c>
      <x:c r="B14" s="40" t="str">
        <x:v>Exit EBITDA vs Base</x:v>
      </x:c>
      <x:c r="C14" s="40" t="str">
        <x:v>Exit Multiple</x:v>
      </x:c>
      <x:c r="D14" s="40" t="str">
        <x:v>Exit Net Debt vs Base</x:v>
      </x:c>
      <x:c r="E14" s="40" t="str">
        <x:v>Exit Equity Value</x:v>
      </x:c>
      <x:c r="F14" s="40" t="str">
        <x:v>Gross MOIC</x:v>
      </x:c>
      <x:c r="G14" s="40" t="str">
        <x:v>Gross IRR</x:v>
      </x:c>
      <x:c r="H14" s="40" t="str">
        <x:v>Hurdle Status</x:v>
      </x:c>
    </x:row>
    <x:row r="15">
      <x:c r="A15" t="str">
        <x:v>Downside</x:v>
      </x:c>
      <x:c r="B15" s="52" t="n">
        <x:v>0.85</x:v>
      </x:c>
      <x:c r="C15" s="54" t="n">
        <x:v>8</x:v>
      </x:c>
      <x:c r="D15" s="52" t="n">
        <x:v>1.15</x:v>
      </x:c>
      <x:c r="E15" s="82" t="n">
        <x:f>MAX(0,'Operating Case'!G8*B15*C15-'Debt Schedule'!F24*D15)</x:f>
        <x:v>401.71612285109796</x:v>
      </x:c>
      <x:c r="F15" s="82" t="n">
        <x:f>E15*(1-Inputs!B16)/'Sources &amp; Uses'!F16</x:f>
        <x:v>1.6545315452222455</x:v>
      </x:c>
      <x:c r="G15" s="83" t="n">
        <x:f>F15^(1/Inputs!B17)-1</x:f>
        <x:v>0.10594877104848832</x:v>
      </x:c>
      <x:c r="H15" s="85" t="str">
        <x:f>IF(AND(F15&gt;=Inputs!B20,G15&gt;=Inputs!B19),"PASS","BELOW HURDLE")</x:f>
        <x:v>BELOW HURDLE</x:v>
      </x:c>
    </x:row>
    <x:row r="16">
      <x:c r="A16" t="str">
        <x:v>Base</x:v>
      </x:c>
      <x:c r="B16" s="52" t="n">
        <x:v>1</x:v>
      </x:c>
      <x:c r="C16" s="54" t="n">
        <x:v>9.5</x:v>
      </x:c>
      <x:c r="D16" s="52" t="n">
        <x:v>1</x:v>
      </x:c>
      <x:c r="E16" s="82" t="n">
        <x:f>MAX(0,'Operating Case'!G8*B16*C16-'Debt Schedule'!F24*D16)</x:f>
        <x:v>664.6549736287809</x:v>
      </x:c>
      <x:c r="F16" s="82" t="n">
        <x:f>E16*(1-Inputs!B16)/'Sources &amp; Uses'!F16</x:f>
        <x:v>2.7374868918698967</x:v>
      </x:c>
      <x:c r="G16" s="83" t="n">
        <x:f>F16^(1/Inputs!B17)-1</x:f>
        <x:v>0.22312377954987594</x:v>
      </x:c>
      <x:c r="H16" s="85" t="str">
        <x:f>IF(AND(F16&gt;=Inputs!B20,G16&gt;=Inputs!B19),"PASS","BELOW HURDLE")</x:f>
        <x:v>BELOW HURDLE</x:v>
      </x:c>
    </x:row>
    <x:row r="17">
      <x:c r="A17" t="str">
        <x:v>Upside</x:v>
      </x:c>
      <x:c r="B17" s="52" t="n">
        <x:v>1.15</x:v>
      </x:c>
      <x:c r="C17" s="54" t="n">
        <x:v>10.5</x:v>
      </x:c>
      <x:c r="D17" s="52" t="n">
        <x:v>0.85</x:v>
      </x:c>
      <x:c r="E17" s="82" t="n">
        <x:f>MAX(0,'Operating Case'!G8*B17*C17-'Debt Schedule'!F24*D17)</x:f>
        <x:v>916.6048214724638</x:v>
      </x:c>
      <x:c r="F17" s="82" t="n">
        <x:f>E17*(1-Inputs!B16)/'Sources &amp; Uses'!F16</x:f>
        <x:v>3.7751822875954826</x:v>
      </x:c>
      <x:c r="G17" s="83" t="n">
        <x:f>F17^(1/Inputs!B17)-1</x:f>
        <x:v>0.304330306458936</x:v>
      </x:c>
      <x:c r="H17" s="85" t="str">
        <x:f>IF(AND(F17&gt;=Inputs!B20,G17&gt;=Inputs!B19),"PASS","BELOW HURDLE")</x:f>
        <x:v>PASS</x:v>
      </x:c>
    </x:row>
    <x:row r="20">
      <x:c r="A20" s="23" t="str">
        <x:v>Credit Summary</x:v>
      </x:c>
      <x:c r="B20" s="23"/>
      <x:c r="C20" s="23"/>
      <x:c r="D20" s="23"/>
    </x:row>
    <x:row r="21">
      <x:c r="A21" t="str">
        <x:v>Minimum Interest Coverage</x:v>
      </x:c>
      <x:c r="B21" s="84" t="n">
        <x:f>MIN('Debt Schedule'!B25:F25)</x:f>
        <x:v>2.711500974658869</x:v>
      </x:c>
    </x:row>
    <x:row r="22">
      <x:c r="A22" t="str">
        <x:v>Maximum Net Leverage</x:v>
      </x:c>
      <x:c r="B22" s="84" t="n">
        <x:f>MAX('Debt Schedule'!B26:F26)</x:f>
        <x:v>4.178568268539512</x:v>
      </x:c>
    </x:row>
    <x:row r="23">
      <x:c r="A23" t="str">
        <x:v>Maximum RCF Draw</x:v>
      </x:c>
      <x:c r="B23" s="82" t="n">
        <x:f>MAX('Debt Schedule'!B16:F16)</x:f>
        <x:v>0</x:v>
      </x:c>
    </x:row>
    <x:row r="24">
      <x:c r="A24" t="str">
        <x:v>RCF Capacity</x:v>
      </x:c>
      <x:c r="B24" s="82" t="n">
        <x:f>'Operating Case'!B8*Inputs!B28</x:f>
        <x:v>30.875</x:v>
      </x:c>
    </x:row>
    <x:row r="25">
      <x:c r="A25" t="str">
        <x:v>Credit Status</x:v>
      </x:c>
      <x:c r="B25" s="85" t="str">
        <x:f>IF(AND(B21&gt;=Inputs!B31,B23&lt;=B24),"PASS","FAIL")</x:f>
        <x:v>PASS</x:v>
      </x:c>
    </x:row>
  </x:sheetData>
  <x:mergeCells>
    <x:mergeCell ref="A1:H1"/>
    <x:mergeCell ref="A2:H2"/>
    <x:mergeCell ref="A4:G4"/>
    <x:mergeCell ref="A13:H13"/>
    <x:mergeCell ref="A20:D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Investment Committee Snapshot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54" t="str">
        <x:v>Project Redwood | deterministic underwriting + probabilistic bid discipline</x:v>
      </x:c>
      <x:c r="B2" s="154"/>
      <x:c r="C2" s="154"/>
      <x:c r="D2" s="154"/>
      <x:c r="E2" s="154"/>
      <x:c r="F2" s="154"/>
      <x:c r="G2" s="154"/>
      <x:c r="H2" s="11"/>
    </x:row>
    <x:row r="4">
      <x:c r="A4" s="23" t="str">
        <x:v>Key Transaction Metrics</x:v>
      </x:c>
      <x:c r="B4" s="23"/>
      <x:c r="C4" s="23"/>
      <x:c r="D4" s="23"/>
      <x:c r="E4" s="23"/>
      <x:c r="F4" s="23"/>
      <x:c r="G4" s="23"/>
      <x:c r="H4" s="23"/>
    </x:row>
    <x:row r="5">
      <x:c r="A5" s="102" t="str">
        <x:v>Entry EV / EBITDA</x:v>
      </x:c>
      <x:c r="B5" s="102"/>
      <x:c r="C5" s="102" t="str">
        <x:v>Enterprise Value</x:v>
      </x:c>
      <x:c r="D5" s="102"/>
      <x:c r="E5" s="102" t="str">
        <x:v>Sponsor Equity</x:v>
      </x:c>
      <x:c r="F5" s="102"/>
      <x:c r="G5" s="102" t="str">
        <x:v>Initial Gross Leverage</x:v>
      </x:c>
      <x:c r="H5" s="102"/>
    </x:row>
    <x:row r="6">
      <x:c r="A6" s="108" t="n">
        <x:f>'Sources &amp; Uses'!B8</x:f>
        <x:v>8.5</x:v>
      </x:c>
      <x:c r="B6" s="108"/>
      <x:c r="C6" s="113" t="n">
        <x:f>'Sources &amp; Uses'!B9</x:f>
        <x:v>524.875</x:v>
      </x:c>
      <x:c r="D6" s="113"/>
      <x:c r="E6" s="113" t="n">
        <x:f>'Sources &amp; Uses'!F16</x:f>
        <x:v>223.3736999999999</x:v>
      </x:c>
      <x:c r="F6" s="113"/>
      <x:c r="G6" s="108" t="n">
        <x:f>'Sources &amp; Uses'!B24</x:f>
        <x:v>5</x:v>
      </x:c>
      <x:c r="H6" s="108"/>
    </x:row>
    <x:row r="8">
      <x:c r="A8" s="102" t="str">
        <x:v>Exit EV / EBITDA</x:v>
      </x:c>
      <x:c r="B8" s="102"/>
      <x:c r="C8" s="102" t="str">
        <x:v>Gross MOIC</x:v>
      </x:c>
      <x:c r="D8" s="102"/>
      <x:c r="E8" s="102" t="str">
        <x:v>Gross IRR</x:v>
      </x:c>
      <x:c r="F8" s="102"/>
      <x:c r="G8" s="102" t="str">
        <x:v>Max Entry Multiple @ Hurdles</x:v>
      </x:c>
      <x:c r="H8" s="102"/>
    </x:row>
    <x:row r="9">
      <x:c r="A9" s="108" t="n">
        <x:f>'Returns'!B6</x:f>
        <x:v>9.5</x:v>
      </x:c>
      <x:c r="B9" s="108"/>
      <x:c r="C9" s="108" t="n">
        <x:f>'Returns'!B12</x:f>
        <x:v>2.7374868918698967</x:v>
      </x:c>
      <x:c r="D9" s="108"/>
      <x:c r="E9" s="117" t="n">
        <x:f>'Returns'!B13</x:f>
        <x:v>0.22312377954987594</x:v>
      </x:c>
      <x:c r="F9" s="117"/>
      <x:c r="G9" s="108" t="n">
        <x:f>'Reverse LBO'!B17</x:f>
        <x:v>8.103026780323551</x:v>
      </x:c>
      <x:c r="H9" s="108"/>
    </x:row>
    <x:row r="11">
      <x:c r="A11" s="102" t="str">
        <x:v>Bid Gap</x:v>
      </x:c>
      <x:c r="B11" s="102"/>
      <x:c r="C11" s="102" t="str">
        <x:v>Min Interest Coverage</x:v>
      </x:c>
      <x:c r="D11" s="102"/>
    </x:row>
    <x:row r="12">
      <x:c r="A12" s="108" t="n">
        <x:f>'Reverse LBO'!B19</x:f>
        <x:v>-0.3969732196764486</x:v>
      </x:c>
      <x:c r="B12" s="108"/>
      <x:c r="C12" s="108" t="n">
        <x:f>'Sensitivities'!B21</x:f>
        <x:v>2.711500974658869</x:v>
      </x:c>
      <x:c r="D12" s="108"/>
    </x:row>
    <x:row r="14">
      <x:c r="A14" s="23" t="str">
        <x:v>Investment Committee Readout</x:v>
      </x:c>
      <x:c r="B14" s="23"/>
      <x:c r="C14" s="23"/>
      <x:c r="D14" s="23"/>
      <x:c r="E14" s="23"/>
      <x:c r="F14" s="23"/>
      <x:c r="G14" s="23"/>
      <x:c r="H14" s="23"/>
    </x:row>
    <x:row r="15">
      <x:c r="A15" s="33" t="str">
        <x:f>"Base case produces "&amp;TEXT('Returns'!B12,"0.00x")&amp;" MOIC and "&amp;TEXT('Returns'!B13,"0.0%")&amp;" gross IRR. The 25% IRR hurdle implies a maximum entry multiple of "&amp;TEXT('Reverse LBO'!B17,"0.0x")&amp;", creating a bid gap of "&amp;TEXT(ABS('Reverse LBO'!B19),"0.0x")&amp;" versus the current "&amp;TEXT(Inputs!B11,"0.0x")&amp;" asking valuation."</x:f>
        <x:v>Base case produces 2.74x MOIC and 22.3% gross IRR. The 25% IRR hurdle implies a maximum entry multiple of 8.1x, creating a bid gap of 0.4x versus the current 8.5x asking valuation.</x:v>
      </x:c>
      <x:c r="B15" s="33"/>
      <x:c r="C15" s="33"/>
      <x:c r="D15" s="33"/>
      <x:c r="E15" s="33"/>
      <x:c r="F15" s="33"/>
      <x:c r="G15" s="33"/>
      <x:c r="H15" s="33"/>
    </x:row>
    <x:row r="16">
      <x:c r="A16" s="155" t="str">
        <x:v>Base case produces 2.74x MOIC and 22.3% gross IRR. The 25% IRR hurdle implies a maximum deterministic entry multiple of 8.1x, while the probabilistic engine suggests 8.0x for a 50% chance of clearing the hurdle.</x:v>
      </x:c>
      <x:c r="B16" s="155"/>
      <x:c r="C16" s="155"/>
      <x:c r="D16" s="155"/>
      <x:c r="E16" s="155"/>
      <x:c r="F16" s="155"/>
      <x:c r="G16" s="155"/>
      <x:c r="H16" s="33"/>
    </x:row>
    <x:row r="17">
      <x:c r="A17" s="155"/>
      <x:c r="B17" s="155"/>
      <x:c r="C17" s="155"/>
      <x:c r="D17" s="155"/>
      <x:c r="E17" s="155"/>
      <x:c r="F17" s="155"/>
      <x:c r="G17" s="155"/>
      <x:c r="H17" s="33"/>
    </x:row>
    <x:row r="19">
      <x:c r="A19" s="28" t="str">
        <x:v>Decision framing: the project is deliberately structured so that the sponsor must choose between (i) lowering the bid, (ii) underwriting stronger operating performance, (iii) accepting a lower return hurdle, or (iv) relying on more aggressive exit assumptions. This makes the model a bid-discipline exercise rather than a mechanical LBO template.</x:v>
      </x:c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</x:sheetData>
  <x:mergeCells>
    <x:mergeCell ref="A1:H1"/>
    <x:mergeCell ref="A2:H2"/>
    <x:mergeCell ref="A4:H4"/>
    <x:mergeCell ref="A5:B5"/>
    <x:mergeCell ref="A6:B6"/>
    <x:mergeCell ref="C5:D5"/>
    <x:mergeCell ref="C6:D6"/>
    <x:mergeCell ref="E5:F5"/>
    <x:mergeCell ref="E6:F6"/>
    <x:mergeCell ref="G5:H5"/>
    <x:mergeCell ref="G6:H6"/>
    <x:mergeCell ref="A8:B8"/>
    <x:mergeCell ref="A9:B9"/>
    <x:mergeCell ref="C8:D8"/>
    <x:mergeCell ref="C9:D9"/>
    <x:mergeCell ref="E8:F8"/>
    <x:mergeCell ref="E9:F9"/>
    <x:mergeCell ref="G8:H8"/>
    <x:mergeCell ref="G9:H9"/>
    <x:mergeCell ref="A11:B11"/>
    <x:mergeCell ref="A12:B12"/>
    <x:mergeCell ref="C11:D11"/>
    <x:mergeCell ref="C12:D12"/>
    <x:mergeCell ref="A14:H14"/>
    <x:mergeCell ref="A15:H17"/>
    <x:mergeCell ref="A19:H22"/>
    <x:mergeCell ref="A2:G2"/>
    <x:mergeCell ref="A16:G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</x:cols>
  <x:sheetData>
    <x:row r="1" ht="26" customHeight="1">
      <x:c r="A1" s="136" t="str">
        <x:v>Bid Requirements &amp; Hurdle Solver</x:v>
      </x:c>
      <x:c r="B1" s="136"/>
      <x:c r="C1" s="136"/>
      <x:c r="D1" s="136"/>
      <x:c r="E1" s="136"/>
      <x:c r="F1" s="136"/>
    </x:row>
    <x:row r="2">
      <x:c r="A2" s="47" t="str">
        <x:v>Synthetic Project Redwood | what must be true to justify the seller's 8.5x asking valuation?</x:v>
      </x:c>
      <x:c r="B2" s="47"/>
      <x:c r="C2" s="47"/>
      <x:c r="D2" s="47"/>
      <x:c r="E2" s="47"/>
      <x:c r="F2" s="47"/>
    </x:row>
    <x:row r="3">
      <x:c r="A3" s="28"/>
      <x:c r="B3" s="28"/>
      <x:c r="C3" s="28"/>
      <x:c r="D3" s="28"/>
      <x:c r="E3" s="28"/>
      <x:c r="F3" s="28"/>
    </x:row>
    <x:row r="4">
      <x:c r="A4" s="137" t="str">
        <x:v>Current Bid Gap</x:v>
      </x:c>
      <x:c r="B4" s="137"/>
      <x:c r="C4" s="137"/>
      <x:c r="D4" s="137"/>
      <x:c r="E4" s="137"/>
      <x:c r="F4" s="137"/>
    </x:row>
    <x:row r="5">
      <x:c r="A5" s="138" t="str">
        <x:v>Metric</x:v>
      </x:c>
      <x:c r="B5" s="138" t="str">
        <x:v>Base Case / Ask</x:v>
      </x:c>
      <x:c r="C5" s="138" t="str">
        <x:v>Hurdle / Ceiling</x:v>
      </x:c>
      <x:c r="D5" s="138" t="str">
        <x:v>Gap</x:v>
      </x:c>
      <x:c r="E5" s="28"/>
      <x:c r="F5" s="28"/>
    </x:row>
    <x:row r="6">
      <x:c r="A6" s="28" t="str">
        <x:v>Entry EV / EBITDA</x:v>
      </x:c>
      <x:c r="B6" s="142" t="n">
        <x:f>'Sources &amp; Uses'!B8</x:f>
        <x:v>8.5</x:v>
      </x:c>
      <x:c r="C6" s="142" t="n">
        <x:f>'Reverse LBO'!B17</x:f>
        <x:v>8.103026780323551</x:v>
      </x:c>
      <x:c r="D6" s="142" t="n">
        <x:f>C6-B6</x:f>
        <x:v>-0.3969732196764486</x:v>
      </x:c>
      <x:c r="E6" s="28"/>
      <x:c r="F6" s="28"/>
    </x:row>
    <x:row r="7">
      <x:c r="A7" s="28" t="str">
        <x:v>Enterprise Value</x:v>
      </x:c>
      <x:c r="B7" s="143" t="n">
        <x:f>'Sources &amp; Uses'!B9</x:f>
        <x:v>524.875</x:v>
      </x:c>
      <x:c r="C7" s="143" t="n">
        <x:f>'Reverse LBO'!B16</x:f>
        <x:v>500.3619036849793</x:v>
      </x:c>
      <x:c r="D7" s="143" t="n">
        <x:f>C7-B7</x:f>
        <x:v>-24.513096315020675</x:v>
      </x:c>
      <x:c r="E7" s="28"/>
      <x:c r="F7" s="28"/>
    </x:row>
    <x:row r="8">
      <x:c r="A8" s="28" t="str">
        <x:v>Gross IRR</x:v>
      </x:c>
      <x:c r="B8" s="144" t="n">
        <x:f>'Returns'!B13</x:f>
        <x:v>0.22312377954987594</x:v>
      </x:c>
      <x:c r="C8" s="144" t="n">
        <x:f>Inputs!B19</x:f>
        <x:v>0.25</x:v>
      </x:c>
      <x:c r="D8" s="144" t="n">
        <x:f>B8-C8</x:f>
        <x:v>-0.026876220450124055</x:v>
      </x:c>
      <x:c r="E8" s="28"/>
      <x:c r="F8" s="28"/>
    </x:row>
    <x:row r="9">
      <x:c r="A9" s="28" t="str">
        <x:v>Gross MOIC</x:v>
      </x:c>
      <x:c r="B9" s="145" t="n">
        <x:f>'Returns'!B12</x:f>
        <x:v>2.7374868918698967</x:v>
      </x:c>
      <x:c r="C9" s="145" t="n">
        <x:f>Inputs!B20</x:f>
        <x:v>2.5</x:v>
      </x:c>
      <x:c r="D9" s="145" t="n">
        <x:f>B9-C9</x:f>
        <x:v>0.2374868918698967</x:v>
      </x:c>
      <x:c r="E9" s="28"/>
      <x:c r="F9" s="28"/>
    </x:row>
    <x:row r="10">
      <x:c r="A10" s="28" t="str">
        <x:v>Decision</x:v>
      </x:c>
      <x:c r="B10" s="28" t="str">
        <x:v>Current asking price</x:v>
      </x:c>
      <x:c r="C10" s="28" t="str">
        <x:v>Base-case max bid</x:v>
      </x:c>
      <x:c r="D10" s="28" t="str">
        <x:f>IF(D8&gt;=0,"CLEAR","RE-PRICE / IMPROVE CASE")</x:f>
        <x:v>RE-PRICE / IMPROVE CASE</x:v>
      </x:c>
      <x:c r="E10" s="28"/>
      <x:c r="F10" s="28"/>
    </x:row>
    <x:row r="11">
      <x:c r="A11" s="28"/>
      <x:c r="B11" s="28"/>
      <x:c r="C11" s="28"/>
      <x:c r="D11" s="28"/>
      <x:c r="E11" s="28"/>
      <x:c r="F11" s="28"/>
    </x:row>
    <x:row r="12">
      <x:c r="A12" s="137" t="str">
        <x:v>If the Sponsor Pays 8.5x, What Must Improve to Hit 25% IRR?</x:v>
      </x:c>
      <x:c r="B12" s="137"/>
      <x:c r="C12" s="137"/>
      <x:c r="D12" s="137"/>
      <x:c r="E12" s="137"/>
      <x:c r="F12" s="137"/>
    </x:row>
    <x:row r="13">
      <x:c r="A13" s="138" t="str">
        <x:v>Value Driver</x:v>
      </x:c>
      <x:c r="B13" s="138" t="str">
        <x:v>Base Case</x:v>
      </x:c>
      <x:c r="C13" s="138" t="str">
        <x:v>Required @ 25% IRR</x:v>
      </x:c>
      <x:c r="D13" s="138" t="str">
        <x:v>Change vs Base</x:v>
      </x:c>
      <x:c r="E13" s="140" t="str">
        <x:v>Hurdle Solver Helpers</x:v>
      </x:c>
      <x:c r="F13" s="140" t="str">
        <x:v>Value</x:v>
      </x:c>
    </x:row>
    <x:row r="14">
      <x:c r="A14" s="28" t="str">
        <x:v>Exit EBITDA</x:v>
      </x:c>
      <x:c r="B14" s="143" t="n">
        <x:f>'Operating Case'!G8</x:f>
        <x:v>87.912023472</x:v>
      </x:c>
      <x:c r="C14" s="143" t="n">
        <x:f>F16/Inputs!B18</x:f>
        <x:v>95.94404387744079</x:v>
      </x:c>
      <x:c r="D14" s="144" t="n">
        <x:f>C14/B14-1</x:f>
        <x:v>0.09136429908246835</x:v>
      </x:c>
      <x:c r="E14" s="28" t="str">
        <x:v>Required Sponsor Exit Proceeds</x:v>
      </x:c>
      <x:c r="F14" s="143" t="n">
        <x:f>'Sources &amp; Uses'!F16*(1+Inputs!B19)^Inputs!B17</x:f>
        <x:v>681.6824340820309</x:v>
      </x:c>
    </x:row>
    <x:row r="15">
      <x:c r="A15" s="28" t="str">
        <x:v>Exit EBITDA CAGR</x:v>
      </x:c>
      <x:c r="B15" s="144" t="n">
        <x:f>(B14/'Sources &amp; Uses'!B7)^(1/Inputs!B17)-1</x:f>
        <x:v>0.07320395105405386</x:v>
      </x:c>
      <x:c r="C15" s="144" t="n">
        <x:f>(C14/'Sources &amp; Uses'!B7)^(1/Inputs!B17)-1</x:f>
        <x:v>0.09213471374458004</x:v>
      </x:c>
      <x:c r="D15" s="144" t="n">
        <x:f>C15-B15</x:f>
        <x:v>0.01893076269052618</x:v>
      </x:c>
      <x:c r="E15" s="28" t="str">
        <x:v>Required Total Exit Equity</x:v>
      </x:c>
      <x:c r="F15" s="143" t="n">
        <x:f>F14/(1-Inputs!B16)</x:f>
        <x:v>740.9591674804683</x:v>
      </x:c>
    </x:row>
    <x:row r="16">
      <x:c r="A16" s="28" t="str">
        <x:v>Exit EV / EBITDA</x:v>
      </x:c>
      <x:c r="B16" s="142" t="n">
        <x:f>Inputs!B18</x:f>
        <x:v>9.5</x:v>
      </x:c>
      <x:c r="C16" s="142" t="n">
        <x:f>F17/'Operating Case'!G8</x:f>
        <x:v>10.36796084128345</x:v>
      </x:c>
      <x:c r="D16" s="142" t="n">
        <x:f>C16-B16</x:f>
        <x:v>0.8679608412834501</x:v>
      </x:c>
      <x:c r="E16" s="28" t="str">
        <x:v>Required Exit EV @ Base Debt</x:v>
      </x:c>
      <x:c r="F16" s="143" t="n">
        <x:f>F15+'Debt Schedule'!F24</x:f>
        <x:v>911.4684168356875</x:v>
      </x:c>
    </x:row>
    <x:row r="17">
      <x:c r="A17" s="28" t="str">
        <x:v>Exit Net Debt</x:v>
      </x:c>
      <x:c r="B17" s="143" t="n">
        <x:f>'Debt Schedule'!F24</x:f>
        <x:v>170.5092493552192</x:v>
      </x:c>
      <x:c r="C17" s="143" t="n">
        <x:f>F18</x:f>
        <x:v>94.20505550353175</x:v>
      </x:c>
      <x:c r="D17" s="143" t="n">
        <x:f>C17-B17</x:f>
        <x:v>-76.30419385168744</x:v>
      </x:c>
      <x:c r="E17" s="28" t="str">
        <x:v>Required Exit EV @ Base EBITDA</x:v>
      </x:c>
      <x:c r="F17" s="143" t="n">
        <x:f>F15+'Debt Schedule'!F24</x:f>
        <x:v>911.4684168356875</x:v>
      </x:c>
    </x:row>
    <x:row r="18">
      <x:c r="A18" s="28" t="str">
        <x:v>Net Leverage at Exit</x:v>
      </x:c>
      <x:c r="B18" s="142" t="n">
        <x:f>'Debt Schedule'!F26</x:f>
        <x:v>1.9395441331131051</x:v>
      </x:c>
      <x:c r="C18" s="142" t="n">
        <x:f>C17/B14</x:f>
        <x:v>1.0715832918296562</x:v>
      </x:c>
      <x:c r="D18" s="142" t="n">
        <x:f>C18-B18</x:f>
        <x:v>-0.867960841283449</x:v>
      </x:c>
      <x:c r="E18" s="28" t="str">
        <x:v>Required Exit Net Debt @ Base EV</x:v>
      </x:c>
      <x:c r="F18" s="143" t="n">
        <x:f>('Operating Case'!G8*Inputs!B18)-F15</x:f>
        <x:v>94.20505550353175</x:v>
      </x:c>
    </x:row>
    <x:row r="19">
      <x:c r="A19" s="28"/>
      <x:c r="B19" s="28"/>
      <x:c r="C19" s="28"/>
      <x:c r="D19" s="28"/>
      <x:c r="E19" s="28"/>
      <x:c r="F19" s="28"/>
    </x:row>
    <x:row r="20">
      <x:c r="A20" s="141" t="str">
        <x:v>Decision Frame</x:v>
      </x:c>
      <x:c r="B20" s="141"/>
      <x:c r="C20" s="141"/>
      <x:c r="D20" s="141"/>
      <x:c r="E20" s="141"/>
      <x:c r="F20" s="141"/>
    </x:row>
    <x:row r="21">
      <x:c r="A21" s="135" t="str">
        <x:f>"At the current "&amp;TEXT('Sources &amp; Uses'!B8,"0.0x")&amp;" ask, the base case generates "&amp;TEXT('Returns'!B13,"0.0%")&amp;" gross IRR. To reach the "&amp;TEXT(Inputs!B19,"0%")&amp;" hurdle without repricing, the sponsor would need approximately "&amp;TEXT(D14,"0.0%")&amp;" more exit EBITDA, a "&amp;TEXT(D16,"0.0x")&amp;" higher exit multiple, or $"&amp;TEXT(ABS(D17),"0.0")&amp;"mm of additional debt paydown versus the base case."</x:f>
        <x:v>At the current 8.5x ask, the base case generates 22.3% gross IRR. To reach the 25% hurdle without repricing, the sponsor would need approximately 9.1% more exit EBITDA, a 0.9x higher exit multiple, or $76.3mm of additional debt paydown versus the base case.</x:v>
      </x:c>
      <x:c r="B21" s="135"/>
      <x:c r="C21" s="135"/>
      <x:c r="D21" s="135"/>
      <x:c r="E21" s="135"/>
      <x:c r="F21" s="135"/>
    </x:row>
    <x:row r="22">
      <x:c r="A22" s="135"/>
      <x:c r="B22" s="135"/>
      <x:c r="C22" s="135"/>
      <x:c r="D22" s="135"/>
      <x:c r="E22" s="135"/>
      <x:c r="F22" s="135"/>
    </x:row>
    <x:row r="23">
      <x:c r="A23" s="135"/>
      <x:c r="B23" s="135"/>
      <x:c r="C23" s="135"/>
      <x:c r="D23" s="135"/>
      <x:c r="E23" s="135"/>
      <x:c r="F23" s="135"/>
    </x:row>
    <x:row r="24">
      <x:c r="A24" s="28"/>
      <x:c r="B24" s="28"/>
      <x:c r="C24" s="28"/>
      <x:c r="D24" s="28"/>
      <x:c r="E24" s="28"/>
      <x:c r="F24" s="28"/>
    </x:row>
    <x:row r="25">
      <x:c r="A25" s="28"/>
      <x:c r="B25" s="28"/>
      <x:c r="C25" s="28"/>
      <x:c r="D25" s="28"/>
      <x:c r="E25" s="28"/>
      <x:c r="F25" s="28"/>
    </x:row>
    <x:row r="26">
      <x:c r="A26" s="28"/>
      <x:c r="B26" s="28"/>
      <x:c r="C26" s="28"/>
      <x:c r="D26" s="28"/>
      <x:c r="E26" s="28"/>
      <x:c r="F26" s="28"/>
    </x:row>
    <x:row r="27">
      <x:c r="A27" s="28"/>
      <x:c r="B27" s="28"/>
      <x:c r="C27" s="28"/>
      <x:c r="D27" s="28"/>
      <x:c r="E27" s="28"/>
      <x:c r="F27" s="28"/>
    </x:row>
    <x:row r="28">
      <x:c r="A28" s="28"/>
      <x:c r="B28" s="28"/>
      <x:c r="C28" s="28"/>
      <x:c r="D28" s="28"/>
      <x:c r="E28" s="28"/>
      <x:c r="F28" s="28"/>
    </x:row>
    <x:row r="29">
      <x:c r="A29" s="28"/>
      <x:c r="B29" s="28"/>
      <x:c r="C29" s="28"/>
      <x:c r="D29" s="28"/>
      <x:c r="E29" s="28"/>
      <x:c r="F29" s="28"/>
    </x:row>
    <x:row r="30">
      <x:c r="A30" s="28"/>
      <x:c r="B30" s="28"/>
      <x:c r="C30" s="28"/>
      <x:c r="D30" s="28"/>
      <x:c r="E30" s="28"/>
      <x:c r="F30" s="28"/>
    </x:row>
  </x:sheetData>
  <x:mergeCells>
    <x:mergeCell ref="A1:F1"/>
    <x:mergeCell ref="A2:F2"/>
    <x:mergeCell ref="A4:F4"/>
    <x:mergeCell ref="A12:F12"/>
    <x:mergeCell ref="A20:F20"/>
    <x:mergeCell ref="A21:F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24" hidden="0" customWidth="1"/>
    <x:col min="4" max="4" width="17" hidden="0" customWidth="1"/>
    <x:col min="5" max="5" width="18" hidden="0" customWidth="1"/>
    <x:col min="6" max="6" width="17" hidden="0" customWidth="1"/>
    <x:col min="7" max="7" width="17" hidden="0" customWidth="1"/>
  </x:cols>
  <x:sheetData>
    <x:row r="1" ht="26" customHeight="1">
      <x:c r="A1" s="123" t="str">
        <x:v>Probabilistic Underwriting - 10,000 Synthetic Deal Paths</x:v>
      </x:c>
      <x:c r="B1" s="123"/>
      <x:c r="C1" s="123"/>
      <x:c r="D1" s="123"/>
      <x:c r="E1" s="123"/>
      <x:c r="F1" s="123"/>
      <x:c r="G1" s="123"/>
    </x:row>
    <x:row r="2">
      <x:c r="A2" s="46" t="str">
        <x:v>Companion Python risk engine | fixed seed 77 | synthetic educational assumptions</x:v>
      </x:c>
      <x:c r="B2" s="46"/>
      <x:c r="C2" s="46"/>
      <x:c r="D2" s="46"/>
      <x:c r="E2" s="46"/>
      <x:c r="F2" s="46"/>
      <x:c r="G2" s="46"/>
    </x:row>
    <x:row r="4">
      <x:c r="A4" s="125" t="str">
        <x:v>Key Risk Outputs</x:v>
      </x:c>
      <x:c r="B4" s="125"/>
      <x:c r="C4" s="125"/>
      <x:c r="D4" s="125"/>
      <x:c r="E4" s="125"/>
      <x:c r="F4" s="125"/>
      <x:c r="G4" s="125"/>
    </x:row>
    <x:row r="5">
      <x:c r="A5" s="129" t="str">
        <x:v>Metric</x:v>
      </x:c>
      <x:c r="B5" s="129" t="str">
        <x:v>Result</x:v>
      </x:c>
      <x:c r="C5" s="129" t="str">
        <x:v>Metric</x:v>
      </x:c>
      <x:c r="D5" s="129" t="str">
        <x:v>Result</x:v>
      </x:c>
      <x:c r="E5" s="129" t="str">
        <x:v>Metric</x:v>
      </x:c>
      <x:c r="F5" s="129" t="str">
        <x:v>Result</x:v>
      </x:c>
    </x:row>
    <x:row r="6">
      <x:c r="A6" t="str">
        <x:v>Median Gross IRR</x:v>
      </x:c>
      <x:c r="B6" s="83" t="n">
        <x:v>0.2220004536522513</x:v>
      </x:c>
      <x:c r="C6" s="85" t="str">
        <x:v>P(IRR &gt;= 25%)</x:v>
      </x:c>
      <x:c r="D6" s="83" t="n">
        <x:v>0.329</x:v>
      </x:c>
      <x:c r="E6" s="85" t="str">
        <x:v>P(Both Hurdles)</x:v>
      </x:c>
      <x:c r="F6" s="83" t="n">
        <x:v>0.329</x:v>
      </x:c>
    </x:row>
    <x:row r="7">
      <x:c r="A7" t="str">
        <x:v>5th %ile Gross IRR</x:v>
      </x:c>
      <x:c r="B7" s="83" t="n">
        <x:v>0.10819195872074247</x:v>
      </x:c>
      <x:c r="C7" s="85" t="str">
        <x:v>95th %ile Gross IRR</x:v>
      </x:c>
      <x:c r="D7" s="83" t="n">
        <x:v>0.32025908569122996</x:v>
      </x:c>
      <x:c r="E7" s="85" t="str">
        <x:v>Median Gross MOIC</x:v>
      </x:c>
      <x:c r="F7" s="84" t="n">
        <x:v>2.7249393211861728</x:v>
      </x:c>
    </x:row>
    <x:row r="8">
      <x:c r="A8" t="str">
        <x:v>P(Coverage &lt; 2.0x)</x:v>
      </x:c>
      <x:c r="B8" s="83" t="n">
        <x:v>0.0064</x:v>
      </x:c>
      <x:c r="C8" s="85" t="str">
        <x:v>P(RCF Draw)</x:v>
      </x:c>
      <x:c r="D8" s="83" t="n">
        <x:v>0.0013</x:v>
      </x:c>
      <x:c r="E8" s="85" t="str">
        <x:v>Median Exit Net Debt</x:v>
      </x:c>
      <x:c r="F8" s="82" t="n">
        <x:v>170.75285311164478</x:v>
      </x:c>
    </x:row>
    <x:row r="9">
      <x:c r="A9" t="str">
        <x:v>Risk-Adjusted Bid Ceiling @ 50%</x:v>
      </x:c>
      <x:c r="B9" s="84" t="n">
        <x:v>8</x:v>
      </x:c>
      <x:c r="C9" s="85" t="str">
        <x:v>Risk-Adjusted Bid Ceiling @ 75%</x:v>
      </x:c>
      <x:c r="D9" s="84" t="n">
        <x:v>7.5</x:v>
      </x:c>
      <x:c r="E9" s="85" t="str">
        <x:v>Deterministic Max Bid</x:v>
      </x:c>
      <x:c r="F9" s="84" t="n">
        <x:v>8.103026780323551</x:v>
      </x:c>
    </x:row>
    <x:row r="10">
      <x:c r="A10" t="str">
        <x:v>Current Asking Multiple</x:v>
      </x:c>
      <x:c r="B10" s="84" t="n">
        <x:v>8.5</x:v>
      </x:c>
      <x:c r="C10" s="85" t="str">
        <x:v>Base-Case IRR</x:v>
      </x:c>
      <x:c r="D10" s="83" t="n">
        <x:v>0.22312377954987594</x:v>
      </x:c>
      <x:c r="E10" s="85" t="str">
        <x:v>Base-Case MOIC</x:v>
      </x:c>
      <x:c r="F10" s="84" t="n">
        <x:v>2.7374868918698967</x:v>
      </x:c>
    </x:row>
    <x:row r="12">
      <x:c r="A12" s="125" t="str">
        <x:v>What Drives Gross IRR?</x:v>
      </x:c>
      <x:c r="B12" s="125"/>
      <x:c r="C12" s="125"/>
      <x:c r="D12" s="125" t="str">
        <x:v>Bid Discipline - Probability of Hitting 25% IRR</x:v>
      </x:c>
      <x:c r="E12" s="125"/>
      <x:c r="F12" s="125"/>
      <x:c r="G12" s="125"/>
    </x:row>
    <x:row r="13">
      <x:c r="A13" s="128" t="str">
        <x:v>Driver</x:v>
      </x:c>
      <x:c r="B13" s="128" t="str">
        <x:v>Spearman Corr.</x:v>
      </x:c>
      <x:c r="D13" s="128" t="str">
        <x:v>Entry Multiple</x:v>
      </x:c>
      <x:c r="E13" s="128" t="str">
        <x:v>P(IRR &gt;=25%)</x:v>
      </x:c>
      <x:c r="F13" s="128" t="str">
        <x:v>Median IRR</x:v>
      </x:c>
      <x:c r="G13" s="128" t="str">
        <x:v>5th %ile IRR</x:v>
      </x:c>
    </x:row>
    <x:row r="14">
      <x:c r="A14" t="str">
        <x:v>Exit Net Debt</x:v>
      </x:c>
      <x:c r="B14" s="146" t="n">
        <x:v>-0.9552783702007837</x:v>
      </x:c>
      <x:c r="D14" s="147" t="n">
        <x:v>7</x:v>
      </x:c>
      <x:c r="E14" s="66" t="n">
        <x:v>0.9069</x:v>
      </x:c>
      <x:c r="F14" s="66" t="n">
        <x:v>0.34859102755588056</x:v>
      </x:c>
      <x:c r="G14" s="66" t="n">
        <x:v>0.22299278030027989</x:v>
      </x:c>
    </x:row>
    <x:row r="15">
      <x:c r="A15" t="str">
        <x:v>Average Revenue Growth</x:v>
      </x:c>
      <x:c r="B15" s="146" t="n">
        <x:v>0.9000978919089789</x:v>
      </x:c>
      <x:c r="D15" s="147" t="n">
        <x:v>7.5</x:v>
      </x:c>
      <x:c r="E15" s="66" t="n">
        <x:v>0.7549</x:v>
      </x:c>
      <x:c r="F15" s="66" t="n">
        <x:v>0.2976460031540218</x:v>
      </x:c>
      <x:c r="G15" s="66" t="n">
        <x:v>0.1767924157994024</x:v>
      </x:c>
    </x:row>
    <x:row r="16">
      <x:c r="A16" t="str">
        <x:v>Exit EBITDA Margin</x:v>
      </x:c>
      <x:c r="B16" s="146" t="n">
        <x:v>0.8424523176725232</x:v>
      </x:c>
      <x:c r="D16" s="147" t="n">
        <x:v>8</x:v>
      </x:c>
      <x:c r="E16" s="66" t="n">
        <x:v>0.5397</x:v>
      </x:c>
      <x:c r="F16" s="66" t="n">
        <x:v>0.25642987547013785</x:v>
      </x:c>
      <x:c r="G16" s="66" t="n">
        <x:v>0.13941486726218574</x:v>
      </x:c>
    </x:row>
    <x:row r="17">
      <x:c r="A17" t="str">
        <x:v>Exit EV / EBITDA</x:v>
      </x:c>
      <x:c r="B17" s="146" t="n">
        <x:v>0.796817295792173</x:v>
      </x:c>
      <x:c r="D17" s="147" t="n">
        <x:v>8.1</x:v>
      </x:c>
      <x:c r="E17" s="66" t="n">
        <x:v>0.4947</x:v>
      </x:c>
      <x:c r="F17" s="66" t="n">
        <x:v>0.24907073721899708</x:v>
      </x:c>
      <x:c r="G17" s="66" t="n">
        <x:v>0.1327411071922495</x:v>
      </x:c>
    </x:row>
    <x:row r="18">
      <x:c r="A18" t="str">
        <x:v>Average Base Rate</x:v>
      </x:c>
      <x:c r="B18" s="146" t="n">
        <x:v>-0.5027855204100223</x:v>
      </x:c>
      <x:c r="D18" s="147" t="n">
        <x:v>8.5</x:v>
      </x:c>
      <x:c r="E18" s="66" t="n">
        <x:v>0.329</x:v>
      </x:c>
      <x:c r="F18" s="66" t="n">
        <x:v>0.2220004536522513</x:v>
      </x:c>
      <x:c r="G18" s="66" t="n">
        <x:v>0.10819195872074247</x:v>
      </x:c>
    </x:row>
    <x:row r="19">
      <x:c r="D19" s="147" t="n">
        <x:v>9</x:v>
      </x:c>
      <x:c r="E19" s="66" t="n">
        <x:v>0.1668</x:v>
      </x:c>
      <x:c r="F19" s="66" t="n">
        <x:v>0.19255444191572935</x:v>
      </x:c>
      <x:c r="G19" s="66" t="n">
        <x:v>0.08148834062855456</x:v>
      </x:c>
    </x:row>
    <x:row r="21">
      <x:c r="A21" s="125" t="str">
        <x:v>Underwriting Interpretation</x:v>
      </x:c>
      <x:c r="B21" s="125"/>
      <x:c r="C21" s="125"/>
      <x:c r="D21" s="125"/>
      <x:c r="E21" s="125"/>
      <x:c r="F21" s="125"/>
      <x:c r="G21" s="125"/>
    </x:row>
    <x:row r="22">
      <x:c r="A22" s="149" t="str">
        <x:v>The deterministic reverse LBO sets a base-case ceiling of 8.1x EV / EBITDA. The Monte Carlo layer asks a different question: how much can the sponsor pay if it wants a given probability of clearing the 25% IRR hurdle? Under the synthetic distribution used here, the ceiling is approximately 8.0x for a 50% probability and 7.5x for a 75% probability. The current 8.5x asking price clears the 25% IRR hurdle in only about one-third of simulated paths.</x:v>
      </x:c>
      <x:c r="B22" s="149"/>
      <x:c r="C22" s="149"/>
      <x:c r="D22" s="149"/>
      <x:c r="E22" s="149"/>
      <x:c r="F22" s="149"/>
      <x:c r="G22" s="149"/>
    </x:row>
    <x:row r="23">
      <x:c r="A23" s="149"/>
      <x:c r="B23" s="149"/>
      <x:c r="C23" s="149"/>
      <x:c r="D23" s="149"/>
      <x:c r="E23" s="149"/>
      <x:c r="F23" s="149"/>
      <x:c r="G23" s="149"/>
    </x:row>
    <x:row r="24">
      <x:c r="A24" s="149"/>
      <x:c r="B24" s="149"/>
      <x:c r="C24" s="149"/>
      <x:c r="D24" s="149"/>
      <x:c r="E24" s="149"/>
      <x:c r="F24" s="149"/>
      <x:c r="G24" s="149"/>
    </x:row>
    <x:row r="25">
      <x:c r="A25" s="149"/>
      <x:c r="B25" s="149"/>
      <x:c r="C25" s="149"/>
      <x:c r="D25" s="149"/>
      <x:c r="E25" s="149"/>
      <x:c r="F25" s="149"/>
      <x:c r="G25" s="149"/>
    </x:row>
    <x:row r="27">
      <x:c r="A27" s="47" t="str">
        <x:v>Model note: this risk layer is deliberately synthetic and is not calibrated to a live transaction or market data. Its purpose is to demonstrate probabilistic deal underwriting, bid discipline and the interaction between operations, financing and valuation.</x:v>
      </x:c>
      <x:c r="B27" s="47"/>
      <x:c r="C27" s="47"/>
      <x:c r="D27" s="47"/>
      <x:c r="E27" s="47"/>
      <x:c r="F27" s="47"/>
      <x:c r="G27" s="47"/>
    </x:row>
    <x:row r="28">
      <x:c r="A28" s="47"/>
      <x:c r="B28" s="47"/>
      <x:c r="C28" s="47"/>
      <x:c r="D28" s="47"/>
      <x:c r="E28" s="47"/>
      <x:c r="F28" s="47"/>
      <x:c r="G28" s="47"/>
    </x:row>
  </x:sheetData>
  <x:mergeCells>
    <x:mergeCell ref="A1:G1"/>
    <x:mergeCell ref="A2:G2"/>
    <x:mergeCell ref="A4:G4"/>
    <x:mergeCell ref="A12:D12"/>
    <x:mergeCell ref="D12:G12"/>
    <x:mergeCell ref="A21:G21"/>
    <x:mergeCell ref="A22:G25"/>
    <x:mergeCell ref="A27:G28"/>
  </x:mergeCells>
  <x:pageMargins left="0.7" right="0.7" top="0.75" bottom="0.75" header="0.3" footer="0.3"/>
</x:worksheet>
</file>